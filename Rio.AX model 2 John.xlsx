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C:\Users\Rick\OneDrive\Desktop\"/>
    </mc:Choice>
  </mc:AlternateContent>
  <xr:revisionPtr revIDLastSave="0" documentId="8_{4B847968-1633-4FB8-A004-E47D5AB5601F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Assumptions" sheetId="10" r:id="rId1"/>
    <sheet name="Income Statement" sheetId="1" r:id="rId2"/>
    <sheet name="Balance Sheet" sheetId="2" r:id="rId3"/>
    <sheet name="Beta" sheetId="3" r:id="rId4"/>
    <sheet name="Debt" sheetId="4" r:id="rId5"/>
    <sheet name="WACC" sheetId="5" r:id="rId6"/>
    <sheet name="TGR" sheetId="8" r:id="rId7"/>
    <sheet name="DCF" sheetId="7" r:id="rId8"/>
    <sheet name="Multiplie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0" l="1"/>
  <c r="C63" i="10"/>
  <c r="C31" i="10" s="1"/>
  <c r="H5" i="1" s="1"/>
  <c r="G59" i="10"/>
  <c r="C59" i="10"/>
  <c r="E57" i="10"/>
  <c r="F57" i="10"/>
  <c r="G57" i="10"/>
  <c r="D57" i="10"/>
  <c r="D55" i="10"/>
  <c r="D59" i="10" s="1"/>
  <c r="E55" i="10"/>
  <c r="E59" i="10" s="1"/>
  <c r="F55" i="10"/>
  <c r="F59" i="10" s="1"/>
  <c r="G55" i="10"/>
  <c r="E47" i="10"/>
  <c r="C15" i="10" s="1"/>
  <c r="D15" i="10" s="1"/>
  <c r="D3" i="10"/>
  <c r="E3" i="10"/>
  <c r="F3" i="10"/>
  <c r="G3" i="10"/>
  <c r="C3" i="10"/>
  <c r="C17" i="10"/>
  <c r="C16" i="10"/>
  <c r="F16" i="10" s="1"/>
  <c r="O21" i="9"/>
  <c r="N21" i="9"/>
  <c r="H22" i="9"/>
  <c r="L4" i="2"/>
  <c r="K4" i="2"/>
  <c r="J4" i="2"/>
  <c r="I4" i="2"/>
  <c r="H4" i="2"/>
  <c r="L31" i="2"/>
  <c r="K31" i="2"/>
  <c r="J31" i="2"/>
  <c r="I31" i="2"/>
  <c r="H31" i="2"/>
  <c r="G10" i="10"/>
  <c r="F10" i="10"/>
  <c r="E10" i="10"/>
  <c r="D10" i="10"/>
  <c r="C10" i="10"/>
  <c r="G7" i="10"/>
  <c r="F7" i="10"/>
  <c r="E7" i="10"/>
  <c r="D7" i="10"/>
  <c r="C7" i="10"/>
  <c r="P15" i="10" l="1"/>
  <c r="E15" i="10"/>
  <c r="D16" i="10"/>
  <c r="E16" i="10" s="1"/>
  <c r="C20" i="10"/>
  <c r="C22" i="10"/>
  <c r="C21" i="10"/>
  <c r="I6" i="2"/>
  <c r="J10" i="2"/>
  <c r="I10" i="2"/>
  <c r="H10" i="2"/>
  <c r="R15" i="10" l="1"/>
  <c r="F15" i="10"/>
  <c r="Q15" i="10"/>
  <c r="Q16" i="10" s="1"/>
  <c r="D60" i="10" s="1"/>
  <c r="D63" i="10" s="1"/>
  <c r="D31" i="10" s="1"/>
  <c r="C23" i="10"/>
  <c r="C24" i="10" s="1"/>
  <c r="L10" i="2"/>
  <c r="K10" i="2"/>
  <c r="G15" i="10" l="1"/>
  <c r="T15" i="10" s="1"/>
  <c r="T16" i="10" s="1"/>
  <c r="G60" i="10" s="1"/>
  <c r="G63" i="10" s="1"/>
  <c r="G31" i="10" s="1"/>
  <c r="S15" i="10"/>
  <c r="S16" i="10" s="1"/>
  <c r="F60" i="10" s="1"/>
  <c r="F63" i="10" s="1"/>
  <c r="F31" i="10" s="1"/>
  <c r="R16" i="10"/>
  <c r="E60" i="10" s="1"/>
  <c r="E63" i="10" s="1"/>
  <c r="E31" i="10" s="1"/>
  <c r="K3" i="5"/>
  <c r="L3" i="5"/>
  <c r="D9" i="5"/>
  <c r="D10" i="5"/>
  <c r="I29" i="2"/>
  <c r="J29" i="2" s="1"/>
  <c r="K29" i="2" s="1"/>
  <c r="L29" i="2" s="1"/>
  <c r="H29" i="2"/>
  <c r="I10" i="4" l="1"/>
  <c r="I32" i="4" s="1"/>
  <c r="H10" i="4"/>
  <c r="H32" i="4" s="1"/>
  <c r="G10" i="4"/>
  <c r="G32" i="4" s="1"/>
  <c r="F10" i="4"/>
  <c r="F32" i="4" s="1"/>
  <c r="E10" i="4"/>
  <c r="E32" i="4" s="1"/>
  <c r="B31" i="4"/>
  <c r="B10" i="4"/>
  <c r="G26" i="2"/>
  <c r="F26" i="2"/>
  <c r="E26" i="2"/>
  <c r="D26" i="2"/>
  <c r="H14" i="9"/>
  <c r="I14" i="9"/>
  <c r="B32" i="4" l="1"/>
  <c r="M26" i="2"/>
  <c r="H25" i="2" s="1"/>
  <c r="I25" i="2" l="1"/>
  <c r="J25" i="2" s="1"/>
  <c r="K25" i="2" s="1"/>
  <c r="L25" i="2" s="1"/>
  <c r="E37" i="10" l="1"/>
  <c r="D38" i="10" s="1"/>
  <c r="D20" i="10" l="1"/>
  <c r="B21" i="7"/>
  <c r="B19" i="7"/>
  <c r="I5" i="1"/>
  <c r="N19" i="9"/>
  <c r="F14" i="9"/>
  <c r="G22" i="10"/>
  <c r="F22" i="10"/>
  <c r="E22" i="10"/>
  <c r="D22" i="10"/>
  <c r="G21" i="10"/>
  <c r="F21" i="10"/>
  <c r="E21" i="10"/>
  <c r="D21" i="10"/>
  <c r="E26" i="9"/>
  <c r="B36" i="1"/>
  <c r="D36" i="1"/>
  <c r="E36" i="1"/>
  <c r="F36" i="1"/>
  <c r="G36" i="1"/>
  <c r="C36" i="1"/>
  <c r="D35" i="1"/>
  <c r="E35" i="1"/>
  <c r="F35" i="1"/>
  <c r="G35" i="1"/>
  <c r="C35" i="1"/>
  <c r="D26" i="1"/>
  <c r="E26" i="1"/>
  <c r="F26" i="1"/>
  <c r="G26" i="1"/>
  <c r="C26" i="1"/>
  <c r="C32" i="2"/>
  <c r="C36" i="2"/>
  <c r="C38" i="2"/>
  <c r="C34" i="2"/>
  <c r="H49" i="2"/>
  <c r="H48" i="2"/>
  <c r="H52" i="2" s="1"/>
  <c r="D3" i="5"/>
  <c r="F8" i="5" s="1"/>
  <c r="F9" i="5" s="1"/>
  <c r="G12" i="2"/>
  <c r="F12" i="2"/>
  <c r="E12" i="2"/>
  <c r="D12" i="2"/>
  <c r="C12" i="2"/>
  <c r="G18" i="2"/>
  <c r="F18" i="2"/>
  <c r="E18" i="2"/>
  <c r="D18" i="2"/>
  <c r="C18" i="2"/>
  <c r="C17" i="2"/>
  <c r="C14" i="2"/>
  <c r="M5" i="2"/>
  <c r="G43" i="2"/>
  <c r="F43" i="2"/>
  <c r="E43" i="2"/>
  <c r="D43" i="2"/>
  <c r="G40" i="2"/>
  <c r="F40" i="2"/>
  <c r="E40" i="2"/>
  <c r="D40" i="2"/>
  <c r="G38" i="2"/>
  <c r="F38" i="2"/>
  <c r="E38" i="2"/>
  <c r="D38" i="2"/>
  <c r="G36" i="2"/>
  <c r="F36" i="2"/>
  <c r="E36" i="2"/>
  <c r="D36" i="2"/>
  <c r="G34" i="2"/>
  <c r="F34" i="2"/>
  <c r="E34" i="2"/>
  <c r="D34" i="2"/>
  <c r="G32" i="2"/>
  <c r="F32" i="2"/>
  <c r="E32" i="2"/>
  <c r="D32" i="2"/>
  <c r="G30" i="2"/>
  <c r="F30" i="2"/>
  <c r="E30" i="2"/>
  <c r="D30" i="2"/>
  <c r="G24" i="2"/>
  <c r="F24" i="2"/>
  <c r="E24" i="2"/>
  <c r="D24" i="2"/>
  <c r="G22" i="2"/>
  <c r="F22" i="2"/>
  <c r="E22" i="2"/>
  <c r="D22" i="2"/>
  <c r="G20" i="2"/>
  <c r="F20" i="2"/>
  <c r="E20" i="2"/>
  <c r="D20" i="2"/>
  <c r="G17" i="2"/>
  <c r="F17" i="2"/>
  <c r="E17" i="2"/>
  <c r="D17" i="2"/>
  <c r="G14" i="2"/>
  <c r="F14" i="2"/>
  <c r="E14" i="2"/>
  <c r="D14" i="2"/>
  <c r="G11" i="2"/>
  <c r="F11" i="2"/>
  <c r="E11" i="2"/>
  <c r="D11" i="2"/>
  <c r="G8" i="2"/>
  <c r="F8" i="2"/>
  <c r="E8" i="2"/>
  <c r="D8" i="2"/>
  <c r="G5" i="2"/>
  <c r="F5" i="2"/>
  <c r="E5" i="2"/>
  <c r="D5" i="2"/>
  <c r="G47" i="2"/>
  <c r="F47" i="2"/>
  <c r="E47" i="2"/>
  <c r="D47" i="2"/>
  <c r="C47" i="2"/>
  <c r="G3" i="2"/>
  <c r="F3" i="2"/>
  <c r="E3" i="2"/>
  <c r="D3" i="2"/>
  <c r="D4" i="8"/>
  <c r="D2" i="8"/>
  <c r="G6" i="1"/>
  <c r="E14" i="9"/>
  <c r="C16" i="1"/>
  <c r="C17" i="1" s="1"/>
  <c r="D16" i="1"/>
  <c r="D17" i="1" s="1"/>
  <c r="E16" i="1"/>
  <c r="E17" i="1" s="1"/>
  <c r="F16" i="1"/>
  <c r="F17" i="1" s="1"/>
  <c r="G16" i="1"/>
  <c r="G17" i="1" s="1"/>
  <c r="B16" i="1"/>
  <c r="C6" i="1"/>
  <c r="D7" i="1"/>
  <c r="D11" i="1" s="1"/>
  <c r="E7" i="1"/>
  <c r="E11" i="1" s="1"/>
  <c r="F7" i="1"/>
  <c r="F11" i="1" s="1"/>
  <c r="G7" i="1"/>
  <c r="G11" i="1" s="1"/>
  <c r="C7" i="1"/>
  <c r="C11" i="1" s="1"/>
  <c r="C9" i="1"/>
  <c r="D9" i="1"/>
  <c r="E9" i="1"/>
  <c r="F9" i="1"/>
  <c r="G9" i="1"/>
  <c r="G19" i="1" s="1"/>
  <c r="G22" i="1" s="1"/>
  <c r="B9" i="1"/>
  <c r="B19" i="1" s="1"/>
  <c r="D6" i="1"/>
  <c r="E6" i="1"/>
  <c r="F6" i="1"/>
  <c r="C3" i="1"/>
  <c r="D3" i="1"/>
  <c r="E3" i="1"/>
  <c r="F3" i="1"/>
  <c r="G3" i="1"/>
  <c r="D16" i="5"/>
  <c r="S4" i="3"/>
  <c r="J5" i="1" l="1"/>
  <c r="K5" i="1" s="1"/>
  <c r="L5" i="1" s="1"/>
  <c r="H33" i="2"/>
  <c r="I33" i="2" s="1"/>
  <c r="J33" i="2" s="1"/>
  <c r="K33" i="2" s="1"/>
  <c r="L33" i="2" s="1"/>
  <c r="D23" i="10"/>
  <c r="D24" i="10" s="1"/>
  <c r="E20" i="10"/>
  <c r="N20" i="9"/>
  <c r="E15" i="9" s="1"/>
  <c r="E16" i="9" s="1"/>
  <c r="E17" i="9" s="1"/>
  <c r="E20" i="9"/>
  <c r="P35" i="1"/>
  <c r="D6" i="8"/>
  <c r="D11" i="5"/>
  <c r="D15" i="5" s="1"/>
  <c r="D18" i="5" s="1"/>
  <c r="D14" i="5"/>
  <c r="D17" i="5" s="1"/>
  <c r="J3" i="7" s="1"/>
  <c r="F10" i="1"/>
  <c r="D10" i="1"/>
  <c r="P36" i="1"/>
  <c r="P26" i="1"/>
  <c r="M16" i="2"/>
  <c r="H16" i="2" s="1"/>
  <c r="I16" i="2" s="1"/>
  <c r="J16" i="2" s="1"/>
  <c r="K16" i="2" s="1"/>
  <c r="L16" i="2" s="1"/>
  <c r="M37" i="2"/>
  <c r="H37" i="2" s="1"/>
  <c r="M7" i="2"/>
  <c r="M13" i="2"/>
  <c r="M31" i="2"/>
  <c r="M35" i="2"/>
  <c r="M39" i="2"/>
  <c r="M12" i="2"/>
  <c r="M18" i="2"/>
  <c r="M42" i="2"/>
  <c r="M2" i="2"/>
  <c r="M10" i="2"/>
  <c r="M21" i="2"/>
  <c r="M29" i="2"/>
  <c r="M33" i="2"/>
  <c r="M4" i="2"/>
  <c r="C10" i="1"/>
  <c r="E10" i="1"/>
  <c r="M19" i="2"/>
  <c r="M23" i="2"/>
  <c r="H47" i="2"/>
  <c r="P17" i="1"/>
  <c r="B22" i="1"/>
  <c r="B38" i="1"/>
  <c r="G20" i="1"/>
  <c r="C19" i="1"/>
  <c r="G38" i="1"/>
  <c r="N15" i="9" s="1"/>
  <c r="H20" i="9" s="1"/>
  <c r="P11" i="1"/>
  <c r="F19" i="1"/>
  <c r="E19" i="1"/>
  <c r="D19" i="1"/>
  <c r="P7" i="1"/>
  <c r="G10" i="1"/>
  <c r="E23" i="10" l="1"/>
  <c r="E24" i="10" s="1"/>
  <c r="H35" i="2"/>
  <c r="I35" i="2" s="1"/>
  <c r="J35" i="2" s="1"/>
  <c r="K35" i="2" s="1"/>
  <c r="L35" i="2" s="1"/>
  <c r="G20" i="10"/>
  <c r="F20" i="10"/>
  <c r="D25" i="10"/>
  <c r="I2" i="1" s="1"/>
  <c r="Q36" i="1"/>
  <c r="H34" i="1" s="1"/>
  <c r="I34" i="1" s="1"/>
  <c r="J34" i="1" s="1"/>
  <c r="K34" i="1" s="1"/>
  <c r="L34" i="1" s="1"/>
  <c r="J4" i="7"/>
  <c r="G13" i="7"/>
  <c r="E23" i="9"/>
  <c r="H23" i="2"/>
  <c r="I23" i="2" s="1"/>
  <c r="J23" i="2" s="1"/>
  <c r="K23" i="2" s="1"/>
  <c r="L23" i="2" s="1"/>
  <c r="B13" i="7"/>
  <c r="C13" i="7"/>
  <c r="E13" i="7"/>
  <c r="F13" i="7"/>
  <c r="D13" i="7"/>
  <c r="H2" i="2"/>
  <c r="I2" i="2" s="1"/>
  <c r="J2" i="2" s="1"/>
  <c r="K2" i="2" s="1"/>
  <c r="L2" i="2" s="1"/>
  <c r="N22" i="9"/>
  <c r="H15" i="9" s="1"/>
  <c r="I37" i="2"/>
  <c r="J37" i="2" s="1"/>
  <c r="K37" i="2" s="1"/>
  <c r="L37" i="2" s="1"/>
  <c r="H39" i="2"/>
  <c r="D22" i="1"/>
  <c r="D38" i="1"/>
  <c r="D20" i="1"/>
  <c r="C20" i="1"/>
  <c r="C22" i="1"/>
  <c r="C38" i="1"/>
  <c r="E20" i="1"/>
  <c r="E38" i="1"/>
  <c r="E22" i="1"/>
  <c r="F22" i="1"/>
  <c r="F38" i="1"/>
  <c r="F20" i="1"/>
  <c r="F23" i="10" l="1"/>
  <c r="F24" i="10" s="1"/>
  <c r="G23" i="10"/>
  <c r="G24" i="10" s="1"/>
  <c r="I22" i="9"/>
  <c r="B8" i="7"/>
  <c r="H6" i="2"/>
  <c r="H5" i="2" s="1"/>
  <c r="I39" i="2"/>
  <c r="B18" i="7"/>
  <c r="D23" i="1"/>
  <c r="B17" i="7"/>
  <c r="H16" i="9"/>
  <c r="H17" i="9" s="1"/>
  <c r="E23" i="1"/>
  <c r="J39" i="2"/>
  <c r="F23" i="1"/>
  <c r="G23" i="1"/>
  <c r="P22" i="1"/>
  <c r="C23" i="1"/>
  <c r="P20" i="1"/>
  <c r="E25" i="10" l="1"/>
  <c r="J2" i="1" s="1"/>
  <c r="H21" i="9"/>
  <c r="H23" i="9" s="1"/>
  <c r="H22" i="1"/>
  <c r="I22" i="1" s="1"/>
  <c r="J22" i="1" s="1"/>
  <c r="K22" i="1" s="1"/>
  <c r="L22" i="1" s="1"/>
  <c r="L39" i="2"/>
  <c r="K39" i="2"/>
  <c r="C8" i="7"/>
  <c r="D8" i="7"/>
  <c r="H6" i="1"/>
  <c r="J14" i="1" l="1"/>
  <c r="J13" i="1"/>
  <c r="G25" i="10"/>
  <c r="L2" i="1" s="1"/>
  <c r="F25" i="10"/>
  <c r="K2" i="1" s="1"/>
  <c r="K14" i="1" s="1"/>
  <c r="F8" i="7"/>
  <c r="E8" i="7"/>
  <c r="I6" i="1"/>
  <c r="K3" i="1" l="1"/>
  <c r="K13" i="1"/>
  <c r="L14" i="1"/>
  <c r="L3" i="1"/>
  <c r="L13" i="1"/>
  <c r="J7" i="1"/>
  <c r="J16" i="1"/>
  <c r="J17" i="1" s="1"/>
  <c r="J6" i="1"/>
  <c r="J9" i="1"/>
  <c r="J19" i="1" l="1"/>
  <c r="J38" i="1" s="1"/>
  <c r="J11" i="1"/>
  <c r="J20" i="1" l="1"/>
  <c r="J25" i="1"/>
  <c r="J31" i="1" s="1"/>
  <c r="L16" i="1"/>
  <c r="L17" i="1" s="1"/>
  <c r="L9" i="1"/>
  <c r="L7" i="1"/>
  <c r="L11" i="1" s="1"/>
  <c r="L19" i="1" l="1"/>
  <c r="L38" i="1" s="1"/>
  <c r="L20" i="1" l="1"/>
  <c r="L25" i="1"/>
  <c r="L31" i="1" s="1"/>
  <c r="I5" i="2" l="1"/>
  <c r="J6" i="2" l="1"/>
  <c r="J5" i="2" s="1"/>
  <c r="K6" i="2" l="1"/>
  <c r="K5" i="2" s="1"/>
  <c r="L6" i="2" s="1"/>
  <c r="L5" i="2" s="1"/>
  <c r="I9" i="1"/>
  <c r="J3" i="1"/>
  <c r="I7" i="1"/>
  <c r="I11" i="1" s="1"/>
  <c r="I13" i="1"/>
  <c r="I14" i="1"/>
  <c r="I16" i="1" l="1"/>
  <c r="I17" i="1" s="1"/>
  <c r="I19" i="1"/>
  <c r="J10" i="1"/>
  <c r="K16" i="1" l="1"/>
  <c r="K17" i="1" s="1"/>
  <c r="K6" i="1"/>
  <c r="K9" i="1"/>
  <c r="K7" i="1"/>
  <c r="L6" i="1"/>
  <c r="I20" i="1"/>
  <c r="I38" i="1"/>
  <c r="I25" i="1"/>
  <c r="I31" i="1" s="1"/>
  <c r="K11" i="1" l="1"/>
  <c r="K10" i="1"/>
  <c r="K19" i="1"/>
  <c r="L10" i="1"/>
  <c r="B7" i="7"/>
  <c r="K38" i="1" l="1"/>
  <c r="K20" i="1"/>
  <c r="K25" i="1"/>
  <c r="K31" i="1" s="1"/>
  <c r="C7" i="7" l="1"/>
  <c r="D7" i="7" l="1"/>
  <c r="E7" i="7" l="1"/>
  <c r="F7" i="7" l="1"/>
  <c r="C25" i="10" l="1"/>
  <c r="H2" i="1" s="1"/>
  <c r="H9" i="1" l="1"/>
  <c r="H10" i="1" s="1"/>
  <c r="H14" i="1"/>
  <c r="I3" i="1"/>
  <c r="H13" i="1"/>
  <c r="H7" i="1"/>
  <c r="H3" i="1"/>
  <c r="H13" i="2" s="1"/>
  <c r="H16" i="1" l="1"/>
  <c r="H17" i="1" s="1"/>
  <c r="S17" i="1" s="1"/>
  <c r="I10" i="1"/>
  <c r="H19" i="1"/>
  <c r="H38" i="1" s="1"/>
  <c r="O15" i="9" s="1"/>
  <c r="I20" i="9" s="1"/>
  <c r="H19" i="2"/>
  <c r="H21" i="2" s="1"/>
  <c r="H42" i="2" s="1"/>
  <c r="I13" i="2"/>
  <c r="B9" i="7"/>
  <c r="H11" i="1"/>
  <c r="S11" i="1" s="1"/>
  <c r="S7" i="1"/>
  <c r="H20" i="1" l="1"/>
  <c r="S20" i="1" s="1"/>
  <c r="B6" i="7" a="1"/>
  <c r="B6" i="7" s="1"/>
  <c r="B11" i="7" s="1"/>
  <c r="B15" i="7" s="1"/>
  <c r="H25" i="1"/>
  <c r="H31" i="1" s="1"/>
  <c r="O19" i="9" s="1"/>
  <c r="F20" i="9" s="1"/>
  <c r="F23" i="9" s="1"/>
  <c r="E25" i="9" s="1"/>
  <c r="J13" i="2"/>
  <c r="K13" i="2" s="1"/>
  <c r="I14" i="2"/>
  <c r="C9" i="7"/>
  <c r="C10" i="7" s="1"/>
  <c r="I19" i="2"/>
  <c r="I21" i="2" s="1"/>
  <c r="I42" i="2" s="1"/>
  <c r="I43" i="2" s="1"/>
  <c r="O22" i="9"/>
  <c r="I15" i="9" s="1"/>
  <c r="O20" i="9" l="1"/>
  <c r="F15" i="9" s="1"/>
  <c r="F16" i="9" s="1"/>
  <c r="F17" i="9" s="1"/>
  <c r="I16" i="9"/>
  <c r="I17" i="9" s="1"/>
  <c r="I21" i="9" s="1"/>
  <c r="I23" i="9" s="1"/>
  <c r="H25" i="9" s="1"/>
  <c r="E27" i="9" s="1"/>
  <c r="E28" i="9" s="1"/>
  <c r="C11" i="7"/>
  <c r="C15" i="7" s="1"/>
  <c r="D9" i="7"/>
  <c r="J14" i="2"/>
  <c r="J19" i="2"/>
  <c r="J21" i="2" s="1"/>
  <c r="J42" i="2" s="1"/>
  <c r="J43" i="2" s="1"/>
  <c r="D10" i="7" l="1"/>
  <c r="D11" i="7"/>
  <c r="D15" i="7" s="1"/>
  <c r="K14" i="2"/>
  <c r="L13" i="2"/>
  <c r="K19" i="2"/>
  <c r="K21" i="2" s="1"/>
  <c r="K42" i="2" s="1"/>
  <c r="K43" i="2" s="1"/>
  <c r="E9" i="7"/>
  <c r="E10" i="7" l="1"/>
  <c r="E11" i="7"/>
  <c r="E15" i="7" s="1"/>
  <c r="L14" i="2"/>
  <c r="F9" i="7"/>
  <c r="L19" i="2"/>
  <c r="L21" i="2" s="1"/>
  <c r="L42" i="2" s="1"/>
  <c r="L43" i="2" s="1"/>
  <c r="F10" i="7" l="1"/>
  <c r="H10" i="7" s="1"/>
  <c r="F11" i="7"/>
  <c r="F15" i="7" l="1"/>
  <c r="G14" i="7"/>
  <c r="G15" i="7" s="1"/>
  <c r="B16" i="7" l="1"/>
  <c r="B20" i="7" s="1"/>
  <c r="B2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<sst xmlns="http://schemas.openxmlformats.org/spreadsheetml/2006/main" count="909" uniqueCount="488">
  <si>
    <t xml:space="preserve">RIO.AX History </t>
  </si>
  <si>
    <t>Weekly     5 Years</t>
  </si>
  <si>
    <t>ASX</t>
  </si>
  <si>
    <t>Exchange Date</t>
  </si>
  <si>
    <t>%Chg</t>
  </si>
  <si>
    <t>09-Aug-2019</t>
  </si>
  <si>
    <t>16-Aug-2019</t>
  </si>
  <si>
    <t>23-Aug-2019</t>
  </si>
  <si>
    <t>30-Aug-2019</t>
  </si>
  <si>
    <t>06-Sep-2019</t>
  </si>
  <si>
    <t>13-Sep-2019</t>
  </si>
  <si>
    <t>20-Sep-2019</t>
  </si>
  <si>
    <t>27-Sep-2019</t>
  </si>
  <si>
    <t>04-Oct-2019</t>
  </si>
  <si>
    <t>11-Oct-2019</t>
  </si>
  <si>
    <t>18-Oct-2019</t>
  </si>
  <si>
    <t>25-Oct-2019</t>
  </si>
  <si>
    <t>06-Dec-2019</t>
  </si>
  <si>
    <t>13-Dec-2019</t>
  </si>
  <si>
    <t>20-Dec-2019</t>
  </si>
  <si>
    <t>27-Dec-2019</t>
  </si>
  <si>
    <t>03-Jan-2020</t>
  </si>
  <si>
    <t>10-Jan-2020</t>
  </si>
  <si>
    <t>17-Jan-2020</t>
  </si>
  <si>
    <t>24-Jan-2020</t>
  </si>
  <si>
    <t>31-Jan-2020</t>
  </si>
  <si>
    <t>01-May-2020</t>
  </si>
  <si>
    <t>08-May-2020</t>
  </si>
  <si>
    <t>15-May-2020</t>
  </si>
  <si>
    <t>22-May-2020</t>
  </si>
  <si>
    <t>29-May-2020</t>
  </si>
  <si>
    <t>05-Jun-2020</t>
  </si>
  <si>
    <t>12-Jun-2020</t>
  </si>
  <si>
    <t>19-Jun-2020</t>
  </si>
  <si>
    <t>26-Jun-2020</t>
  </si>
  <si>
    <t>03-Jul-2020</t>
  </si>
  <si>
    <t>10-Jul-2020</t>
  </si>
  <si>
    <t>17-Jul-2020</t>
  </si>
  <si>
    <t>24-Jul-2020</t>
  </si>
  <si>
    <t>31-Jul-2020</t>
  </si>
  <si>
    <t>07-Aug-2020</t>
  </si>
  <si>
    <t>14-Aug-2020</t>
  </si>
  <si>
    <t>21-Aug-2020</t>
  </si>
  <si>
    <t>28-Aug-2020</t>
  </si>
  <si>
    <t>04-Sep-2020</t>
  </si>
  <si>
    <t>11-Sep-2020</t>
  </si>
  <si>
    <t>18-Sep-2020</t>
  </si>
  <si>
    <t>25-Sep-2020</t>
  </si>
  <si>
    <t>02-Oct-2020</t>
  </si>
  <si>
    <t>09-Oct-2020</t>
  </si>
  <si>
    <t>16-Oct-2020</t>
  </si>
  <si>
    <t>23-Oct-2020</t>
  </si>
  <si>
    <t>30-Oct-2020</t>
  </si>
  <si>
    <t>04-Dec-2020</t>
  </si>
  <si>
    <t>11-Dec-2020</t>
  </si>
  <si>
    <t>18-Dec-2020</t>
  </si>
  <si>
    <t>25-Dec-2020</t>
  </si>
  <si>
    <t>01-Jan-2021</t>
  </si>
  <si>
    <t>08-Jan-2021</t>
  </si>
  <si>
    <t>15-Jan-2021</t>
  </si>
  <si>
    <t>22-Jan-2021</t>
  </si>
  <si>
    <t>29-Jan-2021</t>
  </si>
  <si>
    <t>07-May-2021</t>
  </si>
  <si>
    <t>14-May-2021</t>
  </si>
  <si>
    <t>21-May-2021</t>
  </si>
  <si>
    <t>28-May-2021</t>
  </si>
  <si>
    <t>04-Jun-2021</t>
  </si>
  <si>
    <t>11-Jun-2021</t>
  </si>
  <si>
    <t>18-Jun-2021</t>
  </si>
  <si>
    <t>25-Jun-2021</t>
  </si>
  <si>
    <t>02-Jul-2021</t>
  </si>
  <si>
    <t>09-Jul-2021</t>
  </si>
  <si>
    <t>16-Jul-2021</t>
  </si>
  <si>
    <t>23-Jul-2021</t>
  </si>
  <si>
    <t>30-Jul-2021</t>
  </si>
  <si>
    <t>06-Aug-2021</t>
  </si>
  <si>
    <t>13-Aug-2021</t>
  </si>
  <si>
    <t>20-Aug-2021</t>
  </si>
  <si>
    <t>27-Aug-2021</t>
  </si>
  <si>
    <t>03-Sep-2021</t>
  </si>
  <si>
    <t>10-Sep-2021</t>
  </si>
  <si>
    <t>17-Sep-2021</t>
  </si>
  <si>
    <t>24-Sep-2021</t>
  </si>
  <si>
    <t>01-Oct-2021</t>
  </si>
  <si>
    <t>08-Oct-2021</t>
  </si>
  <si>
    <t>15-Oct-2021</t>
  </si>
  <si>
    <t>22-Oct-2021</t>
  </si>
  <si>
    <t>29-Oct-2021</t>
  </si>
  <si>
    <t>03-Dec-2021</t>
  </si>
  <si>
    <t>10-Dec-2021</t>
  </si>
  <si>
    <t>17-Dec-2021</t>
  </si>
  <si>
    <t>24-Dec-2021</t>
  </si>
  <si>
    <t>31-Dec-2021</t>
  </si>
  <si>
    <t>07-Jan-2022</t>
  </si>
  <si>
    <t>14-Jan-2022</t>
  </si>
  <si>
    <t>21-Jan-2022</t>
  </si>
  <si>
    <t>28-Jan-2022</t>
  </si>
  <si>
    <t>06-May-2022</t>
  </si>
  <si>
    <t>13-May-2022</t>
  </si>
  <si>
    <t>20-May-2022</t>
  </si>
  <si>
    <t>27-May-2022</t>
  </si>
  <si>
    <t>03-Jun-2022</t>
  </si>
  <si>
    <t>10-Jun-2022</t>
  </si>
  <si>
    <t>17-Jun-2022</t>
  </si>
  <si>
    <t>24-Jun-2022</t>
  </si>
  <si>
    <t>01-Jul-2022</t>
  </si>
  <si>
    <t>08-Jul-2022</t>
  </si>
  <si>
    <t>15-Jul-2022</t>
  </si>
  <si>
    <t>22-Jul-2022</t>
  </si>
  <si>
    <t>29-Jul-2022</t>
  </si>
  <si>
    <t>05-Aug-2022</t>
  </si>
  <si>
    <t>12-Aug-2022</t>
  </si>
  <si>
    <t>19-Aug-2022</t>
  </si>
  <si>
    <t>26-Aug-2022</t>
  </si>
  <si>
    <t>02-Sep-2022</t>
  </si>
  <si>
    <t>09-Sep-2022</t>
  </si>
  <si>
    <t>16-Sep-2022</t>
  </si>
  <si>
    <t>23-Sep-2022</t>
  </si>
  <si>
    <t>30-Sep-2022</t>
  </si>
  <si>
    <t>07-Oct-2022</t>
  </si>
  <si>
    <t>14-Oct-2022</t>
  </si>
  <si>
    <t>21-Oct-2022</t>
  </si>
  <si>
    <t>28-Oct-2022</t>
  </si>
  <si>
    <t>02-Dec-2022</t>
  </si>
  <si>
    <t>09-Dec-2022</t>
  </si>
  <si>
    <t>16-Dec-2022</t>
  </si>
  <si>
    <t>23-Dec-2022</t>
  </si>
  <si>
    <t>30-Dec-2022</t>
  </si>
  <si>
    <t>06-Jan-2023</t>
  </si>
  <si>
    <t>13-Jan-2023</t>
  </si>
  <si>
    <t>20-Jan-2023</t>
  </si>
  <si>
    <t>27-Jan-2023</t>
  </si>
  <si>
    <t>05-May-2023</t>
  </si>
  <si>
    <t>12-May-2023</t>
  </si>
  <si>
    <t>19-May-2023</t>
  </si>
  <si>
    <t>26-May-2023</t>
  </si>
  <si>
    <t>02-Jun-2023</t>
  </si>
  <si>
    <t>09-Jun-2023</t>
  </si>
  <si>
    <t>16-Jun-2023</t>
  </si>
  <si>
    <t>23-Jun-2023</t>
  </si>
  <si>
    <t>30-Jun-2023</t>
  </si>
  <si>
    <t>07-Jul-2023</t>
  </si>
  <si>
    <t>14-Jul-2023</t>
  </si>
  <si>
    <t>21-Jul-2023</t>
  </si>
  <si>
    <t>28-Jul-2023</t>
  </si>
  <si>
    <t>04-Aug-2023</t>
  </si>
  <si>
    <t>11-Aug-2023</t>
  </si>
  <si>
    <t>18-Aug-2023</t>
  </si>
  <si>
    <t>25-Aug-2023</t>
  </si>
  <si>
    <t>01-Sep-2023</t>
  </si>
  <si>
    <t>08-Sep-2023</t>
  </si>
  <si>
    <t>15-Sep-2023</t>
  </si>
  <si>
    <t>22-Sep-2023</t>
  </si>
  <si>
    <t>29-Sep-2023</t>
  </si>
  <si>
    <t>06-Oct-2023</t>
  </si>
  <si>
    <t>13-Oct-2023</t>
  </si>
  <si>
    <t>20-Oct-2023</t>
  </si>
  <si>
    <t>27-Oct-2023</t>
  </si>
  <si>
    <t>01-Dec-2023</t>
  </si>
  <si>
    <t>08-Dec-2023</t>
  </si>
  <si>
    <t>15-Dec-2023</t>
  </si>
  <si>
    <t>22-Dec-2023</t>
  </si>
  <si>
    <t>29-Dec-2023</t>
  </si>
  <si>
    <t>05-Jan-2024</t>
  </si>
  <si>
    <t>12-Jan-2024</t>
  </si>
  <si>
    <t>19-Jan-2024</t>
  </si>
  <si>
    <t>26-Jan-2024</t>
  </si>
  <si>
    <t>03-May-2024</t>
  </si>
  <si>
    <t>10-May-2024</t>
  </si>
  <si>
    <t>17-May-2024</t>
  </si>
  <si>
    <t>24-May-2024</t>
  </si>
  <si>
    <t>31-May-2024</t>
  </si>
  <si>
    <t>07-Jun-2024</t>
  </si>
  <si>
    <t>14-Jun-2024</t>
  </si>
  <si>
    <t>21-Jun-2024</t>
  </si>
  <si>
    <t>28-Jun-2024</t>
  </si>
  <si>
    <t>05-Jul-2024</t>
  </si>
  <si>
    <t>12-Jul-2024</t>
  </si>
  <si>
    <t>19-Jul-2024</t>
  </si>
  <si>
    <t>26-Jul-2024</t>
  </si>
  <si>
    <t>02-Aug-2024</t>
  </si>
  <si>
    <t>09-Aug-2024</t>
  </si>
  <si>
    <t>RIO.AX History     Monthly     5 Years</t>
  </si>
  <si>
    <t>31-Aug-2019</t>
  </si>
  <si>
    <t>30-Sep-2019</t>
  </si>
  <si>
    <t>31-Oct-2019</t>
  </si>
  <si>
    <t>31-Dec-2019</t>
  </si>
  <si>
    <t>31-May-2020</t>
  </si>
  <si>
    <t>30-Jun-2020</t>
  </si>
  <si>
    <t>31-Aug-2020</t>
  </si>
  <si>
    <t>30-Sep-2020</t>
  </si>
  <si>
    <t>31-Oct-2020</t>
  </si>
  <si>
    <t>31-Dec-2020</t>
  </si>
  <si>
    <t>31-Jan-2021</t>
  </si>
  <si>
    <t>31-May-2021</t>
  </si>
  <si>
    <t>30-Jun-2021</t>
  </si>
  <si>
    <t>31-Jul-2021</t>
  </si>
  <si>
    <t>31-Aug-2021</t>
  </si>
  <si>
    <t>30-Sep-2021</t>
  </si>
  <si>
    <t>31-Oct-2021</t>
  </si>
  <si>
    <t>31-Jan-2022</t>
  </si>
  <si>
    <t>31-May-2022</t>
  </si>
  <si>
    <t>30-Jun-2022</t>
  </si>
  <si>
    <t>31-Jul-2022</t>
  </si>
  <si>
    <t>31-Aug-2022</t>
  </si>
  <si>
    <t>31-Oct-2022</t>
  </si>
  <si>
    <t>31-Dec-2022</t>
  </si>
  <si>
    <t>31-Jan-2023</t>
  </si>
  <si>
    <t>31-May-2023</t>
  </si>
  <si>
    <t>31-Jul-2023</t>
  </si>
  <si>
    <t>31-Aug-2023</t>
  </si>
  <si>
    <t>30-Sep-2023</t>
  </si>
  <si>
    <t>31-Oct-2023</t>
  </si>
  <si>
    <t>31-Dec-2023</t>
  </si>
  <si>
    <t>31-Jan-2024</t>
  </si>
  <si>
    <t>30-Jun-2024</t>
  </si>
  <si>
    <t>31-Jul-2024</t>
  </si>
  <si>
    <t>31-Aug-2024</t>
  </si>
  <si>
    <t>RIO.L History     Monthly     5 Years</t>
  </si>
  <si>
    <t>FTSE</t>
  </si>
  <si>
    <t>SUMMARY OUTPUT</t>
  </si>
  <si>
    <t>Rio.AX</t>
  </si>
  <si>
    <t>MONTHLY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</si>
  <si>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</si>
  <si>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</si>
  <si>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</si>
  <si>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</si>
  <si>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</si>
  <si>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</si>
  <si>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</si>
  <si>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</si>
  <si>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</si>
  <si>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</si>
  <si>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</si>
  <si>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</si>
  <si>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</si>
  <si>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</si>
  <si>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</si>
  <si>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</si>
  <si>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</si>
  <si>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</si>
  <si>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</si>
  <si>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</si>
  <si>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</si>
  <si>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</si>
  <si>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</si>
  <si>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X Variable 1</t>
  </si>
  <si>
    <t xml:space="preserve">RIO.L History  </t>
  </si>
  <si>
    <t>RIO.AX</t>
  </si>
  <si>
    <t>WEEKLY</t>
  </si>
  <si>
    <t>RIO.L</t>
  </si>
  <si>
    <t>9,56%</t>
  </si>
  <si>
    <t>Issued Amount</t>
  </si>
  <si>
    <t>Coupon</t>
  </si>
  <si>
    <t>Weighted Average Coupon</t>
  </si>
  <si>
    <t>Coupon Class</t>
  </si>
  <si>
    <t>Fixed Coupon</t>
  </si>
  <si>
    <t>Bonds</t>
  </si>
  <si>
    <t>Loans</t>
  </si>
  <si>
    <t xml:space="preserve">Mark cap= 	Total Equity=		</t>
  </si>
  <si>
    <t>BETA</t>
  </si>
  <si>
    <t>Tax rate</t>
  </si>
  <si>
    <t>AUS 10 Yr Bond</t>
  </si>
  <si>
    <t>Cost Of Equity</t>
  </si>
  <si>
    <t>Cost Of Debt</t>
  </si>
  <si>
    <t>Mark Premium</t>
  </si>
  <si>
    <t>WACC</t>
  </si>
  <si>
    <t>W debt</t>
  </si>
  <si>
    <t>Cost of debt Ref</t>
  </si>
  <si>
    <t>2024e</t>
  </si>
  <si>
    <t>2025e</t>
  </si>
  <si>
    <t>2026e</t>
  </si>
  <si>
    <t>2027e</t>
  </si>
  <si>
    <t>2028e</t>
  </si>
  <si>
    <t>REVENUES</t>
  </si>
  <si>
    <t>Com size</t>
  </si>
  <si>
    <t>H growth</t>
  </si>
  <si>
    <t>Gross Profit</t>
  </si>
  <si>
    <t>SGA</t>
  </si>
  <si>
    <t>Other Exp</t>
  </si>
  <si>
    <t>Global Inflation 2028</t>
  </si>
  <si>
    <t>Average size</t>
  </si>
  <si>
    <t>Iron ore</t>
  </si>
  <si>
    <t>Copper</t>
  </si>
  <si>
    <t>Other</t>
  </si>
  <si>
    <t>Al</t>
  </si>
  <si>
    <t>DCF</t>
  </si>
  <si>
    <t>DCF (in billions AUD)</t>
  </si>
  <si>
    <t>EBIT</t>
  </si>
  <si>
    <t>Dep + Am</t>
  </si>
  <si>
    <t>Delta WC</t>
  </si>
  <si>
    <t>CapEx</t>
  </si>
  <si>
    <t>Free Cash Flow</t>
  </si>
  <si>
    <t>Years</t>
  </si>
  <si>
    <t>Discount rate</t>
  </si>
  <si>
    <t>Intrinsic Value</t>
  </si>
  <si>
    <t>Enterprise Value</t>
  </si>
  <si>
    <t>TGR</t>
  </si>
  <si>
    <t>Op. exp. Total</t>
  </si>
  <si>
    <t>Net Income</t>
  </si>
  <si>
    <t>Dep + AM</t>
  </si>
  <si>
    <t>EBITDA</t>
  </si>
  <si>
    <t>Cash</t>
  </si>
  <si>
    <t>Inventories</t>
  </si>
  <si>
    <t>Total Current Assets</t>
  </si>
  <si>
    <t>Other Non-current</t>
  </si>
  <si>
    <t>Total Non-current Assets</t>
  </si>
  <si>
    <t>Total Assets</t>
  </si>
  <si>
    <t>Account Payable</t>
  </si>
  <si>
    <t>Total Current Liabilities</t>
  </si>
  <si>
    <t>Long term Debt</t>
  </si>
  <si>
    <t>Total Non-current L</t>
  </si>
  <si>
    <t>Total Liabilities</t>
  </si>
  <si>
    <t>Equity</t>
  </si>
  <si>
    <t>Pre tax Income</t>
  </si>
  <si>
    <t>BETA (industry)</t>
  </si>
  <si>
    <t>WACC (industry)</t>
  </si>
  <si>
    <t>Cost Of Equity (industry)</t>
  </si>
  <si>
    <t xml:space="preserve">Int expense </t>
  </si>
  <si>
    <t>plus others</t>
  </si>
  <si>
    <t>From Strategic report: CAGR of 3% till 2028 - Assumption= 4%</t>
  </si>
  <si>
    <t>TOTAL</t>
  </si>
  <si>
    <t xml:space="preserve">From 2026, Simandou kicks in -&gt;  7.5% increasing to 12,5% </t>
  </si>
  <si>
    <t>Flat 10% of annual revenue</t>
  </si>
  <si>
    <t>RV Valuation</t>
  </si>
  <si>
    <t>Ticker</t>
  </si>
  <si>
    <t>Name</t>
  </si>
  <si>
    <t xml:space="preserve">P/E </t>
  </si>
  <si>
    <t>EV/EBITDA</t>
  </si>
  <si>
    <t>Forward EV/EBITDA</t>
  </si>
  <si>
    <t>Shares Outstanding</t>
  </si>
  <si>
    <t>BHP.AX</t>
  </si>
  <si>
    <t>BHP Group Ltd</t>
  </si>
  <si>
    <t>CRN.AX</t>
  </si>
  <si>
    <t>Coronado Global Resources Inc</t>
  </si>
  <si>
    <t>DRR.AX</t>
  </si>
  <si>
    <t>Deterra Royalties Ltd</t>
  </si>
  <si>
    <t>FMG.AX</t>
  </si>
  <si>
    <t>Fortescue Ltd</t>
  </si>
  <si>
    <t>WHC.AX</t>
  </si>
  <si>
    <t>Whitehaven Coal Ltd</t>
  </si>
  <si>
    <t>Median</t>
  </si>
  <si>
    <t>Rio Tinto Ltd</t>
  </si>
  <si>
    <t>Historical Premium</t>
  </si>
  <si>
    <t xml:space="preserve">EBITDA </t>
  </si>
  <si>
    <t>Target</t>
  </si>
  <si>
    <t>Forward EBITDA</t>
  </si>
  <si>
    <t>Implied EV</t>
  </si>
  <si>
    <t>Intrinsic Value Per Share</t>
  </si>
  <si>
    <t>Weight</t>
  </si>
  <si>
    <t>Billions</t>
  </si>
  <si>
    <t>Average H</t>
  </si>
  <si>
    <t>Average F</t>
  </si>
  <si>
    <t>Cost of Op. Rev</t>
  </si>
  <si>
    <t>Growth h</t>
  </si>
  <si>
    <t>Aveareg F</t>
  </si>
  <si>
    <t>Average Monthly and Weekly BETA</t>
  </si>
  <si>
    <t xml:space="preserve">TOTAL DEBT BALANCE SHEET </t>
  </si>
  <si>
    <t>london WACC</t>
  </si>
  <si>
    <t>G7 GDP</t>
  </si>
  <si>
    <t>Historical Growth %</t>
  </si>
  <si>
    <t>Receivables</t>
  </si>
  <si>
    <t>Specific Assumptions:</t>
  </si>
  <si>
    <t>Cash = Net Income/Cash Ratio</t>
  </si>
  <si>
    <t>Ratio</t>
  </si>
  <si>
    <t>Averate ratio</t>
  </si>
  <si>
    <t>Forcast equation</t>
  </si>
  <si>
    <t>Forcast based off assumptions</t>
  </si>
  <si>
    <t>(His% + CPI)*Rev G%</t>
  </si>
  <si>
    <t>(His+CPI)</t>
  </si>
  <si>
    <t>property + other to total non current asset total ratio</t>
  </si>
  <si>
    <t>Industry CAGR by 2028 Globally</t>
  </si>
  <si>
    <t>CEO CAGR exp (analysts call)</t>
  </si>
  <si>
    <t>3.85 Billion</t>
  </si>
  <si>
    <t>yearly interest</t>
  </si>
  <si>
    <t>140 Million</t>
  </si>
  <si>
    <t xml:space="preserve">Long term debt (other) - Rio Tinto mean borrowing rate% </t>
  </si>
  <si>
    <t>Long Term debt (other) - amount borrowed Millions</t>
  </si>
  <si>
    <t>TV</t>
  </si>
  <si>
    <t>P/E = price of share/ EPS</t>
  </si>
  <si>
    <t>EV/EBITDA = EV divide EBITDA     EV = equity value + Net Debt</t>
  </si>
  <si>
    <t>eps = Net Income divide shares outstanding</t>
  </si>
  <si>
    <t>INFLATION</t>
  </si>
  <si>
    <t>INT EXP</t>
  </si>
  <si>
    <t>Average H + adjustment for inflation</t>
  </si>
  <si>
    <t>Gr</t>
  </si>
  <si>
    <t>Common size</t>
  </si>
  <si>
    <t>1st half 2024</t>
  </si>
  <si>
    <t>2nd half 2024</t>
  </si>
  <si>
    <t>(2024 in assumptions)</t>
  </si>
  <si>
    <t>DEP + AM</t>
  </si>
  <si>
    <t>Steady increase + in 2024 +34% expenditure in PP&amp;E -&gt; Expectation of higher increase in 2025 and later</t>
  </si>
  <si>
    <t>Flat growth increase</t>
  </si>
  <si>
    <t>2026-2028</t>
  </si>
  <si>
    <t>follow increase of exp</t>
  </si>
  <si>
    <t>in PP&amp;E (50%)</t>
  </si>
  <si>
    <t>eps</t>
  </si>
  <si>
    <t>P/E</t>
  </si>
  <si>
    <t>Share Price 12/09/24</t>
  </si>
  <si>
    <t>Ratios</t>
  </si>
  <si>
    <t>EV</t>
  </si>
  <si>
    <t>Forward</t>
  </si>
  <si>
    <t>Current Share Price</t>
  </si>
  <si>
    <t xml:space="preserve">Intrinsic Value </t>
  </si>
  <si>
    <t>Upside</t>
  </si>
  <si>
    <t>Total USD</t>
  </si>
  <si>
    <t>Total AUD</t>
  </si>
  <si>
    <t>Terminal Value</t>
  </si>
  <si>
    <t>Deduct: LTD</t>
  </si>
  <si>
    <t>Add: Cash</t>
  </si>
  <si>
    <t>No. of shares</t>
  </si>
  <si>
    <t>ltd</t>
  </si>
  <si>
    <t xml:space="preserve">Fwd P/E </t>
  </si>
  <si>
    <t>Fwd EPS</t>
  </si>
  <si>
    <t>Costs Assumptions</t>
  </si>
  <si>
    <t>Global</t>
  </si>
  <si>
    <t>Total Inflation Proxy</t>
  </si>
  <si>
    <t>Energy Prices</t>
  </si>
  <si>
    <t>USD/AUD</t>
  </si>
  <si>
    <t>Price as at 12/09/2024</t>
  </si>
  <si>
    <t>Productions (Millions)</t>
  </si>
  <si>
    <t>Rev (Billions)</t>
  </si>
  <si>
    <t>Forward - 2024</t>
  </si>
  <si>
    <t>EPS</t>
  </si>
  <si>
    <t>Ebitda</t>
  </si>
  <si>
    <t>G% F 5yr</t>
  </si>
  <si>
    <t>Ibis World</t>
  </si>
  <si>
    <t>`</t>
  </si>
  <si>
    <t>TGR Growth Rate</t>
  </si>
  <si>
    <t>growth %</t>
  </si>
  <si>
    <t xml:space="preserve">  </t>
  </si>
  <si>
    <t>GLEN.L</t>
  </si>
  <si>
    <t>Glencore PLC</t>
  </si>
  <si>
    <t>NEM</t>
  </si>
  <si>
    <t>Newmont Corporation</t>
  </si>
  <si>
    <t>AAL.L</t>
  </si>
  <si>
    <t>Anglo American PLC</t>
  </si>
  <si>
    <t>VALE3.SA</t>
  </si>
  <si>
    <t>Vale SA</t>
  </si>
  <si>
    <t>Short Term Debt</t>
  </si>
  <si>
    <t>Property, Plant &amp; Equipment Net Total</t>
  </si>
  <si>
    <t>Rio.ax</t>
  </si>
  <si>
    <t>Bonds Issued (Debt)</t>
  </si>
  <si>
    <t>Rio.plc</t>
  </si>
  <si>
    <t>Total Issued</t>
  </si>
  <si>
    <t>Interest Expense</t>
  </si>
  <si>
    <t>Ibis world</t>
  </si>
  <si>
    <t>Others</t>
  </si>
  <si>
    <t>Australia</t>
  </si>
  <si>
    <t>China Steel</t>
  </si>
  <si>
    <t>manufacting index</t>
  </si>
  <si>
    <t>Electric vehicle data</t>
  </si>
  <si>
    <t>china steel demand/ infrastructure</t>
  </si>
  <si>
    <t xml:space="preserve"> </t>
  </si>
  <si>
    <t>Iron Ore</t>
  </si>
  <si>
    <t>Forecasted Commodity Price (USD)</t>
  </si>
  <si>
    <t xml:space="preserve">Aluminium </t>
  </si>
  <si>
    <t>Iron Ore Price Assumption 1</t>
  </si>
  <si>
    <t>Copper Price Assumption 1</t>
  </si>
  <si>
    <t>Copper Price Assumption 2</t>
  </si>
  <si>
    <t>Aluminium Price Assumption 1</t>
  </si>
  <si>
    <t>Aluminium Price Assumption 2</t>
  </si>
  <si>
    <t>https://www.statista.com/outlook/mmo/electric-vehicles/china</t>
  </si>
  <si>
    <t>China 10yr PPI average of median and average</t>
  </si>
  <si>
    <t>Iron Ore Price Assumption 2</t>
  </si>
  <si>
    <t>https://www.technavio.com/report/infrastructure-market-industry-analysis#:~:text=The%20China%20Infrastructure%20Market%20size,4.65%25%20between%202023%20and%202028.</t>
  </si>
  <si>
    <t>Workspace</t>
  </si>
  <si>
    <t>Iron Ore Price Assumption 3</t>
  </si>
  <si>
    <t>https://www.technavio.com/report/iron-and-steel-market-industry-analysis</t>
  </si>
  <si>
    <t>Flat</t>
  </si>
  <si>
    <t>Exp Year</t>
  </si>
  <si>
    <t>Assumption yearly production</t>
  </si>
  <si>
    <t>Prod Sem 2</t>
  </si>
  <si>
    <t xml:space="preserve">323-338 </t>
  </si>
  <si>
    <t>0,230-0,260</t>
  </si>
  <si>
    <t>Lower end</t>
  </si>
  <si>
    <t>3,2-3,4</t>
  </si>
  <si>
    <t>2x Sem 1</t>
  </si>
  <si>
    <t>Constant 10% rev</t>
  </si>
  <si>
    <t>Production Sem 1</t>
  </si>
  <si>
    <t>Reality + Assumptions 2024</t>
  </si>
  <si>
    <t>YoY growth of production (millions of tonnes)</t>
  </si>
  <si>
    <t>Oil</t>
  </si>
  <si>
    <t>Energy</t>
  </si>
  <si>
    <t>Efficiencies of scale (operations)</t>
  </si>
  <si>
    <t>Avg. Energy prices growth</t>
  </si>
  <si>
    <t>Growth of production (Tonnes)</t>
  </si>
  <si>
    <t>2x Sem 1 + 3%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</si>
</sst>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#,##0.0"/>
    <numFmt numFmtId="166" formatCode="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/>
      <right style="thin">
        <color indexed="64"/>
      </right>
      <top/>
      <bottom/>
      <diagonal/>
    </border>
    <border>
      <left style="thin">
        <color rgb="FFD5D8DB"/>
      </left>
      <right style="thin">
        <color indexed="64"/>
      </right>
      <top style="thin">
        <color rgb="FFD5D8DB"/>
      </top>
      <bottom style="thin">
        <color rgb="FFD5D8DB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2" fillId="0" borderId="0" applyNumberFormat="0" applyBorder="0" applyAlignment="0"/>
    <xf numFmtId="0" fontId="12" fillId="0" borderId="0"/>
  </cellStyleXfs>
  <cellXfs count="8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right"/>
    </xf>
    <xf numFmtId="0" fontId="6" fillId="0" borderId="2" xfId="0" applyFont="1" applyBorder="1"/>
    <xf numFmtId="10" fontId="0" fillId="0" borderId="0" xfId="0" applyNumberFormat="1"/>
    <xf numFmtId="10" fontId="6" fillId="0" borderId="2" xfId="0" applyNumberFormat="1" applyFont="1" applyBorder="1"/>
    <xf numFmtId="0" fontId="4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15" fontId="6" fillId="0" borderId="2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4" xfId="0" applyFont="1" applyBorder="1"/>
    <xf numFmtId="0" fontId="7" fillId="0" borderId="3" xfId="0" applyFont="1" applyBorder="1" applyAlignment="1">
      <alignment horizontal="center"/>
    </xf>
    <xf numFmtId="0" fontId="5" fillId="3" borderId="4" xfId="0" applyFont="1" applyFill="1" applyBorder="1"/>
    <xf numFmtId="0" fontId="5" fillId="4" borderId="4" xfId="0" applyFont="1" applyFill="1" applyBorder="1"/>
    <xf numFmtId="0" fontId="5" fillId="0" borderId="0" xfId="0" applyFont="1" applyAlignment="1">
      <alignment horizontal="left"/>
    </xf>
    <xf numFmtId="11" fontId="5" fillId="0" borderId="0" xfId="0" applyNumberFormat="1" applyFont="1"/>
    <xf numFmtId="0" fontId="5" fillId="5" borderId="4" xfId="0" applyFont="1" applyFill="1" applyBorder="1"/>
    <xf numFmtId="11" fontId="5" fillId="0" borderId="4" xfId="0" applyNumberFormat="1" applyFont="1" applyBorder="1"/>
    <xf numFmtId="0" fontId="5" fillId="6" borderId="4" xfId="0" applyFont="1" applyFill="1" applyBorder="1"/>
    <xf numFmtId="0" fontId="5" fillId="7" borderId="0" xfId="0" applyFont="1" applyFill="1"/>
    <xf numFmtId="0" fontId="5" fillId="5" borderId="0" xfId="0" applyFont="1" applyFill="1"/>
    <xf numFmtId="0" fontId="4" fillId="8" borderId="0" xfId="0" applyFont="1" applyFill="1" applyAlignment="1">
      <alignment horizontal="right"/>
    </xf>
    <xf numFmtId="3" fontId="5" fillId="5" borderId="0" xfId="0" applyNumberFormat="1" applyFont="1" applyFill="1"/>
    <xf numFmtId="0" fontId="5" fillId="5" borderId="0" xfId="0" applyFont="1" applyFill="1" applyAlignment="1">
      <alignment horizontal="right"/>
    </xf>
    <xf numFmtId="0" fontId="4" fillId="9" borderId="0" xfId="0" applyFont="1" applyFill="1" applyAlignment="1">
      <alignment horizontal="right"/>
    </xf>
    <xf numFmtId="0" fontId="4" fillId="9" borderId="0" xfId="0" applyFont="1" applyFill="1" applyAlignment="1">
      <alignment horizontal="left"/>
    </xf>
    <xf numFmtId="3" fontId="5" fillId="0" borderId="0" xfId="0" applyNumberFormat="1" applyFont="1"/>
    <xf numFmtId="0" fontId="5" fillId="0" borderId="0" xfId="0" applyFont="1" applyAlignment="1">
      <alignment horizontal="right"/>
    </xf>
    <xf numFmtId="0" fontId="2" fillId="0" borderId="0" xfId="0" applyFont="1"/>
    <xf numFmtId="2" fontId="0" fillId="0" borderId="0" xfId="0" applyNumberFormat="1"/>
    <xf numFmtId="0" fontId="0" fillId="0" borderId="6" xfId="0" applyBorder="1"/>
    <xf numFmtId="0" fontId="2" fillId="0" borderId="6" xfId="0" applyFont="1" applyBorder="1"/>
    <xf numFmtId="10" fontId="0" fillId="0" borderId="0" xfId="1" applyNumberFormat="1" applyFont="1" applyBorder="1"/>
    <xf numFmtId="10" fontId="0" fillId="0" borderId="6" xfId="1" applyNumberFormat="1" applyFont="1" applyBorder="1"/>
    <xf numFmtId="0" fontId="6" fillId="0" borderId="5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8" fillId="0" borderId="0" xfId="2"/>
    <xf numFmtId="10" fontId="5" fillId="0" borderId="0" xfId="0" applyNumberFormat="1" applyFont="1"/>
    <xf numFmtId="10" fontId="0" fillId="0" borderId="6" xfId="0" applyNumberFormat="1" applyBorder="1"/>
    <xf numFmtId="0" fontId="6" fillId="0" borderId="7" xfId="0" applyFont="1" applyBorder="1" applyAlignment="1">
      <alignment horizontal="right" vertical="center" wrapText="1"/>
    </xf>
    <xf numFmtId="0" fontId="0" fillId="10" borderId="0" xfId="0" applyFill="1"/>
    <xf numFmtId="0" fontId="9" fillId="0" borderId="0" xfId="0" applyFont="1"/>
    <xf numFmtId="4" fontId="9" fillId="0" borderId="0" xfId="0" applyNumberFormat="1" applyFont="1"/>
    <xf numFmtId="4" fontId="0" fillId="0" borderId="0" xfId="0" applyNumberFormat="1"/>
    <xf numFmtId="0" fontId="2" fillId="10" borderId="0" xfId="0" applyFont="1" applyFill="1"/>
    <xf numFmtId="4" fontId="0" fillId="10" borderId="0" xfId="0" applyNumberFormat="1" applyFill="1"/>
    <xf numFmtId="2" fontId="0" fillId="0" borderId="0" xfId="1" applyNumberFormat="1" applyFont="1"/>
    <xf numFmtId="14" fontId="0" fillId="0" borderId="0" xfId="0" applyNumberFormat="1"/>
    <xf numFmtId="2" fontId="0" fillId="10" borderId="0" xfId="0" applyNumberFormat="1" applyFill="1"/>
    <xf numFmtId="0" fontId="9" fillId="10" borderId="0" xfId="0" applyFont="1" applyFill="1"/>
    <xf numFmtId="165" fontId="10" fillId="0" borderId="5" xfId="0" applyNumberFormat="1" applyFont="1" applyBorder="1" applyAlignment="1">
      <alignment horizontal="right" vertical="center" wrapText="1"/>
    </xf>
    <xf numFmtId="4" fontId="10" fillId="0" borderId="5" xfId="0" applyNumberFormat="1" applyFont="1" applyBorder="1" applyAlignment="1">
      <alignment horizontal="right" vertical="center" wrapText="1"/>
    </xf>
    <xf numFmtId="4" fontId="11" fillId="0" borderId="5" xfId="0" applyNumberFormat="1" applyFont="1" applyBorder="1" applyAlignment="1">
      <alignment horizontal="right" vertical="center" wrapText="1"/>
    </xf>
    <xf numFmtId="4" fontId="11" fillId="0" borderId="5" xfId="3" applyNumberFormat="1" applyFont="1" applyBorder="1" applyAlignment="1">
      <alignment horizontal="right" vertical="center" wrapText="1"/>
    </xf>
    <xf numFmtId="4" fontId="10" fillId="0" borderId="5" xfId="3" applyNumberFormat="1" applyFont="1" applyBorder="1" applyAlignment="1">
      <alignment horizontal="right" vertical="center" wrapText="1"/>
    </xf>
    <xf numFmtId="10" fontId="0" fillId="0" borderId="0" xfId="1" applyNumberFormat="1" applyFont="1"/>
    <xf numFmtId="9" fontId="0" fillId="0" borderId="0" xfId="0" applyNumberFormat="1"/>
    <xf numFmtId="166" fontId="0" fillId="0" borderId="0" xfId="0" applyNumberFormat="1"/>
    <xf numFmtId="0" fontId="0" fillId="11" borderId="0" xfId="0" applyFill="1"/>
    <xf numFmtId="4" fontId="11" fillId="10" borderId="5" xfId="3" applyNumberFormat="1" applyFont="1" applyFill="1" applyBorder="1" applyAlignment="1">
      <alignment horizontal="right" vertical="center" wrapText="1"/>
    </xf>
    <xf numFmtId="165" fontId="10" fillId="10" borderId="5" xfId="0" applyNumberFormat="1" applyFont="1" applyFill="1" applyBorder="1" applyAlignment="1">
      <alignment horizontal="right" vertical="center" wrapText="1"/>
    </xf>
    <xf numFmtId="4" fontId="10" fillId="10" borderId="5" xfId="0" applyNumberFormat="1" applyFont="1" applyFill="1" applyBorder="1" applyAlignment="1">
      <alignment horizontal="right" vertical="center" wrapText="1"/>
    </xf>
    <xf numFmtId="2" fontId="2" fillId="10" borderId="0" xfId="0" applyNumberFormat="1" applyFont="1" applyFill="1"/>
    <xf numFmtId="2" fontId="2" fillId="0" borderId="0" xfId="0" applyNumberFormat="1" applyFont="1"/>
    <xf numFmtId="4" fontId="10" fillId="10" borderId="5" xfId="3" applyNumberFormat="1" applyFont="1" applyFill="1" applyBorder="1" applyAlignment="1">
      <alignment horizontal="right" vertical="center" wrapText="1"/>
    </xf>
    <xf numFmtId="0" fontId="0" fillId="3" borderId="0" xfId="0" applyFill="1"/>
    <xf numFmtId="0" fontId="2" fillId="10" borderId="6" xfId="0" applyFont="1" applyFill="1" applyBorder="1"/>
    <xf numFmtId="165" fontId="0" fillId="0" borderId="0" xfId="0" applyNumberFormat="1"/>
    <xf numFmtId="2" fontId="0" fillId="13" borderId="0" xfId="0" applyNumberFormat="1" applyFill="1"/>
    <xf numFmtId="10" fontId="0" fillId="0" borderId="0" xfId="1" applyNumberFormat="1" applyFont="1" applyFill="1"/>
    <xf numFmtId="2" fontId="0" fillId="12" borderId="0" xfId="0" applyNumberFormat="1" applyFill="1"/>
    <xf numFmtId="0" fontId="8" fillId="10" borderId="0" xfId="2" applyFill="1"/>
    <xf numFmtId="10" fontId="0" fillId="10" borderId="0" xfId="0" applyNumberFormat="1" applyFill="1"/>
    <xf numFmtId="166" fontId="0" fillId="10" borderId="0" xfId="0" applyNumberFormat="1" applyFill="1"/>
    <xf numFmtId="0" fontId="5" fillId="10" borderId="0" xfId="0" applyFont="1" applyFill="1"/>
    <xf numFmtId="3" fontId="0" fillId="10" borderId="0" xfId="0" applyNumberFormat="1" applyFill="1"/>
    <xf numFmtId="3" fontId="5" fillId="10" borderId="0" xfId="0" applyNumberFormat="1" applyFont="1" applyFill="1"/>
    <xf numFmtId="164" fontId="5" fillId="0" borderId="0" xfId="0" applyNumberFormat="1" applyFont="1"/>
    <xf numFmtId="164" fontId="0" fillId="0" borderId="0" xfId="0" applyNumberFormat="1"/>
    <xf numFmtId="164" fontId="0" fillId="10" borderId="0" xfId="0" applyNumberFormat="1" applyFill="1"/>
    <xf numFmtId="164" fontId="5" fillId="10" borderId="0" xfId="0" applyNumberFormat="1" applyFont="1" applyFill="1"/>
    <xf numFmtId="10" fontId="8" fillId="0" borderId="0" xfId="2" applyNumberFormat="1"/>
    <xf numFmtId="165" fontId="12" fillId="0" borderId="0" xfId="4" applyNumberFormat="1"/>
    <xf numFmtId="0" fontId="7" fillId="0" borderId="3" xfId="0" applyFont="1" applyBorder="1" applyAlignment="1">
      <alignment horizontal="center"/>
    </xf>
    <xf numFmtId="0" fontId="0" fillId="0" borderId="0" xfId="0" applyAlignment="1">
      <alignment horizontal="center"/>
    </xf>
  </cellXfs>
  <cellStyles count="5">
    <cellStyle name="Hyperlink" xfId="2" builtinId="8"/>
    <cellStyle name="Normal" xfId="0" builtinId="0"/>
    <cellStyle name="Normal 2" xfId="3" xr:uid="{D5E6192A-9098-462C-9D7B-E64A615A513C}"/>
    <cellStyle name="Normal 3" xfId="4" xr:uid="{81A976FB-A456-47CC-8091-759E7C9473CD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chnavio.com/report/infrastructure-market-industry-analysis" TargetMode="External"/><Relationship Id="rId3" Type="http://schemas.openxmlformats.org/officeDocument/2006/relationships/hyperlink" Target="https://my-ibisworld-com.libraryproxy.griffith.edu.au/au/en/industry/B0801/external-environment" TargetMode="External"/><Relationship Id="rId7" Type="http://schemas.openxmlformats.org/officeDocument/2006/relationships/hyperlink" Target="https://www.technavio.com/report/iron-and-steel-market-industry-analysis" TargetMode="External"/><Relationship Id="rId2" Type="http://schemas.openxmlformats.org/officeDocument/2006/relationships/hyperlink" Target="https://www.statista.com/statistics/256598/global-inflation-rate-compared-to-previous-year/" TargetMode="External"/><Relationship Id="rId1" Type="http://schemas.openxmlformats.org/officeDocument/2006/relationships/hyperlink" Target="https://www.statista.com/statistics/271845/inflation-rate-in-australia/" TargetMode="External"/><Relationship Id="rId6" Type="http://schemas.openxmlformats.org/officeDocument/2006/relationships/hyperlink" Target="https://www.statista.com/outlook/mmo/electric-vehicles/china" TargetMode="External"/><Relationship Id="rId11" Type="http://schemas.openxmlformats.org/officeDocument/2006/relationships/hyperlink" Target="https://my-ibisworld-com.libraryproxy.griffith.edu.au/au/en/business-environment-profiles/h3113/business-environment-profile" TargetMode="External"/><Relationship Id="rId5" Type="http://schemas.openxmlformats.org/officeDocument/2006/relationships/hyperlink" Target="https://my-ibisworld-com.libraryproxy.griffith.edu.au/au/en/industry/C2132/external-environment" TargetMode="External"/><Relationship Id="rId10" Type="http://schemas.openxmlformats.org/officeDocument/2006/relationships/hyperlink" Target="https://my-ibisworld-com.libraryproxy.griffith.edu.au/au/en/business-environment-profiles/a5211/business-environment-profile" TargetMode="External"/><Relationship Id="rId4" Type="http://schemas.openxmlformats.org/officeDocument/2006/relationships/hyperlink" Target="https://my-ibisworld-com.libraryproxy.griffith.edu.au/au/en/industry/B0803/external-environment" TargetMode="External"/><Relationship Id="rId9" Type="http://schemas.openxmlformats.org/officeDocument/2006/relationships/hyperlink" Target="https://www.statista.com/statistics/252795/weighted-price-index-of-energy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tatista.com/statistics/256598/global-inflation-rate-compared-to-previous-year/" TargetMode="External"/><Relationship Id="rId1" Type="http://schemas.openxmlformats.org/officeDocument/2006/relationships/hyperlink" Target="https://www.thebusinessresearchcompany.com/report/mining-global-market-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2760-BC28-47CA-9683-4927EEF10370}">
  <dimension ref="A1:T63"/>
  <sheetViews>
    <sheetView topLeftCell="A7" zoomScaleNormal="100" workbookViewId="0">
      <selection activeCell="H48" sqref="H48"/>
    </sheetView>
  </sheetViews>
  <sheetFormatPr defaultRowHeight="14.4" x14ac:dyDescent="0.3"/>
  <cols>
    <col min="2" max="2" width="43.44140625" bestFit="1" customWidth="1"/>
    <col min="3" max="4" width="10.5546875" bestFit="1" customWidth="1"/>
    <col min="5" max="5" width="10.6640625" bestFit="1" customWidth="1"/>
    <col min="6" max="6" width="21" bestFit="1" customWidth="1"/>
    <col min="7" max="7" width="10.6640625" bestFit="1" customWidth="1"/>
  </cols>
  <sheetData>
    <row r="1" spans="2:20" x14ac:dyDescent="0.3">
      <c r="B1" s="43"/>
      <c r="C1" s="43"/>
      <c r="D1" s="43"/>
      <c r="E1" s="43"/>
      <c r="F1" s="43"/>
      <c r="G1" s="43"/>
      <c r="H1" s="43"/>
    </row>
    <row r="2" spans="2:20" x14ac:dyDescent="0.3">
      <c r="B2" s="47" t="s">
        <v>455</v>
      </c>
      <c r="C2" s="47">
        <v>2024</v>
      </c>
      <c r="D2" s="47">
        <v>2025</v>
      </c>
      <c r="E2" s="47">
        <v>2026</v>
      </c>
      <c r="F2" s="47">
        <v>2027</v>
      </c>
      <c r="G2" s="47">
        <v>2028</v>
      </c>
      <c r="H2" s="47" t="s">
        <v>425</v>
      </c>
      <c r="K2" s="31"/>
      <c r="L2" s="31"/>
      <c r="M2" s="31"/>
      <c r="N2" s="31"/>
      <c r="O2" s="31"/>
    </row>
    <row r="3" spans="2:20" x14ac:dyDescent="0.3">
      <c r="B3" s="47" t="s">
        <v>454</v>
      </c>
      <c r="C3" s="32">
        <f>C4*(1+(0.6*C5+0.4*C6))</f>
        <v>114.50449999999999</v>
      </c>
      <c r="D3" s="32">
        <f t="shared" ref="D3:G3" si="0">D4*(1+(0.6*D5+0.4*D6))</f>
        <v>100.02861</v>
      </c>
      <c r="E3" s="32">
        <f t="shared" si="0"/>
        <v>89.492094999999992</v>
      </c>
      <c r="F3" s="32">
        <f t="shared" si="0"/>
        <v>86.93938</v>
      </c>
      <c r="G3" s="32">
        <f t="shared" si="0"/>
        <v>87.622204999999994</v>
      </c>
      <c r="I3" t="s">
        <v>452</v>
      </c>
    </row>
    <row r="4" spans="2:20" x14ac:dyDescent="0.3">
      <c r="B4" s="43" t="s">
        <v>457</v>
      </c>
      <c r="C4">
        <v>109</v>
      </c>
      <c r="D4">
        <v>95.22</v>
      </c>
      <c r="E4" s="32">
        <v>85.19</v>
      </c>
      <c r="F4" s="32">
        <v>82.76</v>
      </c>
      <c r="G4" s="32">
        <v>83.41</v>
      </c>
      <c r="H4" s="84" t="s">
        <v>446</v>
      </c>
    </row>
    <row r="5" spans="2:20" x14ac:dyDescent="0.3">
      <c r="B5" s="43" t="s">
        <v>464</v>
      </c>
      <c r="C5" s="58">
        <v>4.65E-2</v>
      </c>
      <c r="D5" s="58">
        <v>4.65E-2</v>
      </c>
      <c r="E5" s="58">
        <v>4.65E-2</v>
      </c>
      <c r="F5" s="58">
        <v>4.65E-2</v>
      </c>
      <c r="G5" s="58">
        <v>4.65E-2</v>
      </c>
      <c r="H5" s="84" t="s">
        <v>465</v>
      </c>
    </row>
    <row r="6" spans="2:20" x14ac:dyDescent="0.3">
      <c r="B6" s="43" t="s">
        <v>467</v>
      </c>
      <c r="C6" s="58">
        <v>5.6500000000000002E-2</v>
      </c>
      <c r="D6" s="58">
        <v>5.6500000000000002E-2</v>
      </c>
      <c r="E6" s="58">
        <v>5.6500000000000002E-2</v>
      </c>
      <c r="F6" s="58">
        <v>5.6500000000000002E-2</v>
      </c>
      <c r="G6" s="58">
        <v>5.6500000000000002E-2</v>
      </c>
      <c r="H6" s="84" t="s">
        <v>468</v>
      </c>
    </row>
    <row r="7" spans="2:20" x14ac:dyDescent="0.3">
      <c r="B7" s="47" t="s">
        <v>283</v>
      </c>
      <c r="C7" s="32">
        <f>C8*(1+C9)</f>
        <v>8940.6821430000018</v>
      </c>
      <c r="D7" s="32">
        <f t="shared" ref="D7:G7" si="1">D8*(1+D9)</f>
        <v>8787.4067090000008</v>
      </c>
      <c r="E7" s="32">
        <f t="shared" si="1"/>
        <v>7845.8999420000009</v>
      </c>
      <c r="F7" s="32">
        <f t="shared" si="1"/>
        <v>8134.2032479999998</v>
      </c>
      <c r="G7" s="32">
        <f t="shared" si="1"/>
        <v>8413.5871129999996</v>
      </c>
      <c r="I7" t="s">
        <v>451</v>
      </c>
      <c r="M7" t="s">
        <v>453</v>
      </c>
    </row>
    <row r="8" spans="2:20" x14ac:dyDescent="0.3">
      <c r="B8" s="43" t="s">
        <v>458</v>
      </c>
      <c r="C8">
        <v>8750.7900000000009</v>
      </c>
      <c r="D8">
        <v>8600.77</v>
      </c>
      <c r="E8" s="32">
        <v>7679.26</v>
      </c>
      <c r="F8" s="32">
        <v>7961.44</v>
      </c>
      <c r="G8" s="32">
        <v>8234.89</v>
      </c>
      <c r="H8" s="84" t="s">
        <v>426</v>
      </c>
    </row>
    <row r="9" spans="2:20" x14ac:dyDescent="0.3">
      <c r="B9" s="43" t="s">
        <v>459</v>
      </c>
      <c r="C9" s="58">
        <v>2.1700000000000001E-2</v>
      </c>
      <c r="D9" s="58">
        <v>2.1700000000000001E-2</v>
      </c>
      <c r="E9" s="58">
        <v>2.1700000000000001E-2</v>
      </c>
      <c r="F9" s="58">
        <v>2.1700000000000001E-2</v>
      </c>
      <c r="G9" s="58">
        <v>2.1700000000000001E-2</v>
      </c>
      <c r="H9" s="39" t="s">
        <v>462</v>
      </c>
    </row>
    <row r="10" spans="2:20" x14ac:dyDescent="0.3">
      <c r="B10" s="47" t="s">
        <v>456</v>
      </c>
      <c r="C10" s="32">
        <f>C11*(1+C12)</f>
        <v>2524.2672000000002</v>
      </c>
      <c r="D10" s="32">
        <f t="shared" ref="D10:G10" si="2">D11*(1+D12)</f>
        <v>2655.8448000000003</v>
      </c>
      <c r="E10" s="32">
        <f t="shared" si="2"/>
        <v>2777.3984000000005</v>
      </c>
      <c r="F10" s="32">
        <f t="shared" si="2"/>
        <v>2875.0960000000005</v>
      </c>
      <c r="G10" s="32">
        <f t="shared" si="2"/>
        <v>2970.3296</v>
      </c>
      <c r="I10" t="s">
        <v>450</v>
      </c>
    </row>
    <row r="11" spans="2:20" x14ac:dyDescent="0.3">
      <c r="B11" s="43" t="s">
        <v>460</v>
      </c>
      <c r="C11">
        <v>2253.81</v>
      </c>
      <c r="D11">
        <v>2371.29</v>
      </c>
      <c r="E11">
        <v>2479.8200000000002</v>
      </c>
      <c r="F11">
        <v>2567.0500000000002</v>
      </c>
      <c r="G11">
        <v>2652.08</v>
      </c>
      <c r="H11" s="39" t="s">
        <v>426</v>
      </c>
    </row>
    <row r="12" spans="2:20" x14ac:dyDescent="0.3">
      <c r="B12" s="43" t="s">
        <v>461</v>
      </c>
      <c r="C12">
        <v>0.12</v>
      </c>
      <c r="D12">
        <v>0.12</v>
      </c>
      <c r="E12">
        <v>0.12</v>
      </c>
      <c r="F12">
        <v>0.12</v>
      </c>
      <c r="G12">
        <v>0.12</v>
      </c>
      <c r="H12" s="39" t="s">
        <v>466</v>
      </c>
      <c r="I12" t="s">
        <v>463</v>
      </c>
    </row>
    <row r="13" spans="2:20" x14ac:dyDescent="0.3">
      <c r="B13" s="43" t="s">
        <v>447</v>
      </c>
    </row>
    <row r="14" spans="2:20" x14ac:dyDescent="0.3">
      <c r="B14" s="47" t="s">
        <v>420</v>
      </c>
      <c r="P14" t="s">
        <v>481</v>
      </c>
    </row>
    <row r="15" spans="2:20" x14ac:dyDescent="0.3">
      <c r="B15" s="43" t="s">
        <v>282</v>
      </c>
      <c r="C15" s="32">
        <f>E47</f>
        <v>321.34900000000005</v>
      </c>
      <c r="D15" s="32">
        <f>C15*(1+0.05)</f>
        <v>337.41645000000005</v>
      </c>
      <c r="E15" s="32">
        <f>D15*(1+0.075)</f>
        <v>362.72268375000004</v>
      </c>
      <c r="F15" s="32">
        <f>E15*(1+0.1)</f>
        <v>398.99495212500005</v>
      </c>
      <c r="G15" s="32">
        <f>F15*(1+0.125)</f>
        <v>448.86932114062506</v>
      </c>
      <c r="H15" t="s">
        <v>322</v>
      </c>
      <c r="P15" s="32">
        <f>SUM(C15:C16)</f>
        <v>321.58900000000006</v>
      </c>
      <c r="Q15" s="32">
        <f t="shared" ref="Q15:S15" si="3">SUM(D15:D16)</f>
        <v>337.66605000000004</v>
      </c>
      <c r="R15" s="32">
        <f t="shared" si="3"/>
        <v>362.98226775000006</v>
      </c>
      <c r="S15" s="32">
        <f t="shared" si="3"/>
        <v>399.24455212500004</v>
      </c>
      <c r="T15" s="32">
        <f>SUM(G15:G16)</f>
        <v>449.15008719502504</v>
      </c>
    </row>
    <row r="16" spans="2:20" x14ac:dyDescent="0.3">
      <c r="B16" s="43" t="s">
        <v>283</v>
      </c>
      <c r="C16" s="32">
        <f>E48</f>
        <v>0.24</v>
      </c>
      <c r="D16" s="32">
        <f>C16*(1+0.04)</f>
        <v>0.24959999999999999</v>
      </c>
      <c r="E16" s="32">
        <f>D16*(1+0.04)</f>
        <v>0.25958399999999998</v>
      </c>
      <c r="F16" s="32">
        <f>C16*(1+0.04)</f>
        <v>0.24959999999999999</v>
      </c>
      <c r="G16" s="32">
        <v>0.28076605440000002</v>
      </c>
      <c r="H16" t="s">
        <v>320</v>
      </c>
      <c r="Q16">
        <f>(Q15-P15)/P15</f>
        <v>4.9992537058170472E-2</v>
      </c>
      <c r="R16">
        <f t="shared" ref="R16:T16" si="4">(R15-Q15)/Q15</f>
        <v>7.4974128284439667E-2</v>
      </c>
      <c r="S16">
        <f t="shared" si="4"/>
        <v>9.9900980286935712E-2</v>
      </c>
      <c r="T16">
        <f t="shared" si="4"/>
        <v>0.12499991497542089</v>
      </c>
    </row>
    <row r="17" spans="2:8" x14ac:dyDescent="0.3">
      <c r="B17" s="43" t="s">
        <v>285</v>
      </c>
      <c r="C17" s="32">
        <f>E49</f>
        <v>3.4</v>
      </c>
      <c r="D17" s="32">
        <v>3.4</v>
      </c>
      <c r="E17" s="32">
        <v>3.4</v>
      </c>
      <c r="F17" s="32">
        <v>3.4</v>
      </c>
      <c r="G17" s="32">
        <v>3.4</v>
      </c>
      <c r="H17" t="s">
        <v>469</v>
      </c>
    </row>
    <row r="18" spans="2:8" x14ac:dyDescent="0.3">
      <c r="B18" s="43" t="s">
        <v>284</v>
      </c>
      <c r="H18" t="s">
        <v>323</v>
      </c>
    </row>
    <row r="19" spans="2:8" x14ac:dyDescent="0.3">
      <c r="B19" s="47" t="s">
        <v>421</v>
      </c>
    </row>
    <row r="20" spans="2:8" x14ac:dyDescent="0.3">
      <c r="B20" s="43" t="s">
        <v>454</v>
      </c>
      <c r="C20" s="32">
        <f>C3*C15</f>
        <v>36795.906570500003</v>
      </c>
      <c r="D20" s="32">
        <f t="shared" ref="D20:G20" si="5">D3*D15</f>
        <v>33751.298484634506</v>
      </c>
      <c r="E20" s="32">
        <f t="shared" si="5"/>
        <v>32460.812872809958</v>
      </c>
      <c r="F20" s="32">
        <f t="shared" si="5"/>
        <v>34688.373760877184</v>
      </c>
      <c r="G20" s="32">
        <f t="shared" si="5"/>
        <v>39330.91967519468</v>
      </c>
    </row>
    <row r="21" spans="2:8" x14ac:dyDescent="0.3">
      <c r="B21" s="43" t="s">
        <v>283</v>
      </c>
      <c r="C21" s="32">
        <f>C16*C7</f>
        <v>2145.7637143200004</v>
      </c>
      <c r="D21" s="32">
        <f>D8*D16</f>
        <v>2146.7521919999999</v>
      </c>
      <c r="E21" s="32">
        <f>E8*E16</f>
        <v>1993.4130278399998</v>
      </c>
      <c r="F21" s="32">
        <f>F8*F16</f>
        <v>1987.1754239999998</v>
      </c>
      <c r="G21" s="32">
        <f>G8*G16</f>
        <v>2312.0775737180161</v>
      </c>
    </row>
    <row r="22" spans="2:8" x14ac:dyDescent="0.3">
      <c r="B22" s="43" t="s">
        <v>285</v>
      </c>
      <c r="C22" s="32">
        <f>C10*C17</f>
        <v>8582.5084800000004</v>
      </c>
      <c r="D22" s="32">
        <f t="shared" ref="D22:G22" si="6">D10*D17</f>
        <v>9029.8723200000004</v>
      </c>
      <c r="E22" s="32">
        <f t="shared" si="6"/>
        <v>9443.1545600000009</v>
      </c>
      <c r="F22" s="32">
        <f t="shared" si="6"/>
        <v>9775.3264000000017</v>
      </c>
      <c r="G22" s="32">
        <f t="shared" si="6"/>
        <v>10099.120639999999</v>
      </c>
    </row>
    <row r="23" spans="2:8" x14ac:dyDescent="0.3">
      <c r="B23" s="43" t="s">
        <v>284</v>
      </c>
      <c r="C23" s="32">
        <f>(C20+C21+C22)*0.1</f>
        <v>4752.4178764819999</v>
      </c>
      <c r="D23" s="32">
        <f t="shared" ref="D23:G23" si="7">(D20+D21+D22)*0.1</f>
        <v>4492.7922996634506</v>
      </c>
      <c r="E23" s="32">
        <f t="shared" si="7"/>
        <v>4389.7380460649965</v>
      </c>
      <c r="F23" s="32">
        <f t="shared" si="7"/>
        <v>4645.0875584877185</v>
      </c>
      <c r="G23" s="32">
        <f t="shared" si="7"/>
        <v>5174.2117888912699</v>
      </c>
    </row>
    <row r="24" spans="2:8" x14ac:dyDescent="0.3">
      <c r="B24" s="43" t="s">
        <v>405</v>
      </c>
      <c r="C24" s="32">
        <f>SUM(C20:C23)</f>
        <v>52276.596641302</v>
      </c>
      <c r="D24" s="32">
        <f t="shared" ref="D24:G24" si="8">SUM(D20:D23)</f>
        <v>49420.71529629796</v>
      </c>
      <c r="E24" s="32">
        <f t="shared" si="8"/>
        <v>48287.118506714956</v>
      </c>
      <c r="F24" s="32">
        <f t="shared" si="8"/>
        <v>51095.963143364905</v>
      </c>
      <c r="G24" s="32">
        <f t="shared" si="8"/>
        <v>56916.329677803966</v>
      </c>
    </row>
    <row r="25" spans="2:8" x14ac:dyDescent="0.3">
      <c r="B25" s="43" t="s">
        <v>406</v>
      </c>
      <c r="C25">
        <f>C24*C26</f>
        <v>79110.173697282327</v>
      </c>
      <c r="D25" s="70">
        <f>D24*$C$26</f>
        <v>74788.3684578877</v>
      </c>
      <c r="E25" s="70">
        <f>E24*$C$26</f>
        <v>73072.896436211755</v>
      </c>
      <c r="F25" s="70">
        <f>F24*$C$26</f>
        <v>77323.521024854112</v>
      </c>
      <c r="G25" s="70">
        <f>G24*$C$26</f>
        <v>86131.481701420751</v>
      </c>
    </row>
    <row r="26" spans="2:8" x14ac:dyDescent="0.3">
      <c r="B26" s="43" t="s">
        <v>418</v>
      </c>
      <c r="C26">
        <v>1.5133000000000001</v>
      </c>
      <c r="D26" s="70"/>
      <c r="E26" s="70"/>
      <c r="F26" s="70"/>
      <c r="G26" s="70"/>
    </row>
    <row r="27" spans="2:8" x14ac:dyDescent="0.3">
      <c r="B27" s="43"/>
      <c r="D27" s="70"/>
      <c r="E27" s="70"/>
      <c r="F27" s="70"/>
      <c r="G27" s="70"/>
    </row>
    <row r="28" spans="2:8" ht="13.5" customHeight="1" x14ac:dyDescent="0.3">
      <c r="B28" s="47" t="s">
        <v>414</v>
      </c>
    </row>
    <row r="29" spans="2:8" x14ac:dyDescent="0.3">
      <c r="B29" s="74" t="s">
        <v>382</v>
      </c>
      <c r="C29" s="6">
        <v>3.5299999999999998E-2</v>
      </c>
      <c r="D29" s="6">
        <v>2.98E-2</v>
      </c>
      <c r="E29" s="6">
        <v>2.6800000000000001E-2</v>
      </c>
      <c r="F29" s="6">
        <v>2.6800000000000001E-2</v>
      </c>
      <c r="G29" s="6">
        <v>2.5700000000000001E-2</v>
      </c>
      <c r="H29" t="s">
        <v>448</v>
      </c>
    </row>
    <row r="30" spans="2:8" x14ac:dyDescent="0.3">
      <c r="B30" s="74" t="s">
        <v>382</v>
      </c>
      <c r="C30" s="6">
        <v>5.9400000000000001E-2</v>
      </c>
      <c r="D30" s="6">
        <v>4.5100000000000001E-2</v>
      </c>
      <c r="E30" s="6">
        <v>3.73E-2</v>
      </c>
      <c r="F30" s="6">
        <v>3.4700000000000002E-2</v>
      </c>
      <c r="G30" s="6">
        <v>3.4000000000000002E-2</v>
      </c>
      <c r="H30" t="s">
        <v>415</v>
      </c>
    </row>
    <row r="31" spans="2:8" x14ac:dyDescent="0.3">
      <c r="B31" s="43" t="s">
        <v>416</v>
      </c>
      <c r="C31" s="6">
        <f>C63</f>
        <v>-3.6000000000000004E-2</v>
      </c>
      <c r="D31" s="6">
        <f>D63</f>
        <v>3.5491484812665217E-2</v>
      </c>
      <c r="E31" s="6">
        <f>E63</f>
        <v>7.285598625881709E-2</v>
      </c>
      <c r="F31" s="6">
        <f>F63</f>
        <v>3.2904733824418761E-2</v>
      </c>
      <c r="G31" s="6">
        <f>G63</f>
        <v>6.485426683018107E-2</v>
      </c>
    </row>
    <row r="32" spans="2:8" x14ac:dyDescent="0.3">
      <c r="B32" s="74" t="s">
        <v>417</v>
      </c>
      <c r="C32" s="6"/>
      <c r="D32" s="6"/>
    </row>
    <row r="33" spans="1:7" x14ac:dyDescent="0.3">
      <c r="B33" s="31" t="s">
        <v>383</v>
      </c>
      <c r="D33" t="s">
        <v>384</v>
      </c>
    </row>
    <row r="34" spans="1:7" x14ac:dyDescent="0.3">
      <c r="B34" s="31" t="s">
        <v>390</v>
      </c>
      <c r="D34" t="s">
        <v>391</v>
      </c>
    </row>
    <row r="36" spans="1:7" x14ac:dyDescent="0.3">
      <c r="B36" s="31" t="s">
        <v>301</v>
      </c>
      <c r="D36" s="31" t="s">
        <v>387</v>
      </c>
      <c r="E36" s="31" t="s">
        <v>388</v>
      </c>
      <c r="F36" s="31">
        <v>2025</v>
      </c>
      <c r="G36" s="31" t="s">
        <v>393</v>
      </c>
    </row>
    <row r="37" spans="1:7" x14ac:dyDescent="0.3">
      <c r="D37">
        <v>12.1</v>
      </c>
      <c r="E37">
        <f>12.1-0.2</f>
        <v>11.9</v>
      </c>
      <c r="F37" t="s">
        <v>394</v>
      </c>
      <c r="G37" t="s">
        <v>392</v>
      </c>
    </row>
    <row r="38" spans="1:7" x14ac:dyDescent="0.3">
      <c r="D38">
        <f>SUM(D37:E37)</f>
        <v>24</v>
      </c>
      <c r="F38" t="s">
        <v>395</v>
      </c>
    </row>
    <row r="40" spans="1:7" x14ac:dyDescent="0.3">
      <c r="A40" s="39"/>
      <c r="B40" t="s">
        <v>449</v>
      </c>
      <c r="C40" s="85"/>
      <c r="D40" s="85"/>
      <c r="E40" s="85"/>
      <c r="F40" s="85"/>
      <c r="G40" s="85"/>
    </row>
    <row r="41" spans="1:7" x14ac:dyDescent="0.3">
      <c r="A41" s="39"/>
      <c r="C41" s="6"/>
      <c r="D41" s="6"/>
      <c r="E41" s="6"/>
      <c r="F41" s="6"/>
      <c r="G41" s="6"/>
    </row>
    <row r="42" spans="1:7" x14ac:dyDescent="0.3">
      <c r="C42" s="6"/>
    </row>
    <row r="44" spans="1:7" x14ac:dyDescent="0.3">
      <c r="B44" s="31" t="s">
        <v>480</v>
      </c>
    </row>
    <row r="45" spans="1:7" x14ac:dyDescent="0.3">
      <c r="B45" s="3" t="s">
        <v>470</v>
      </c>
      <c r="C45" s="3">
        <v>2024</v>
      </c>
      <c r="D45" s="2" t="s">
        <v>471</v>
      </c>
      <c r="E45" s="3"/>
      <c r="F45" s="3" t="s">
        <v>472</v>
      </c>
    </row>
    <row r="46" spans="1:7" x14ac:dyDescent="0.3">
      <c r="B46" s="3"/>
      <c r="C46" s="3" t="s">
        <v>479</v>
      </c>
      <c r="D46" s="3"/>
      <c r="E46" s="3"/>
      <c r="F46" s="3"/>
    </row>
    <row r="47" spans="1:7" x14ac:dyDescent="0.3">
      <c r="A47" s="3" t="s">
        <v>282</v>
      </c>
      <c r="B47" s="3" t="s">
        <v>473</v>
      </c>
      <c r="C47" s="3">
        <v>158.30000000000001</v>
      </c>
      <c r="D47" s="3" t="s">
        <v>487</v>
      </c>
      <c r="E47" s="3">
        <f>F47+C47</f>
        <v>321.34900000000005</v>
      </c>
      <c r="F47" s="3">
        <f>C47*1.03</f>
        <v>163.04900000000001</v>
      </c>
    </row>
    <row r="48" spans="1:7" x14ac:dyDescent="0.3">
      <c r="A48" s="3" t="s">
        <v>283</v>
      </c>
      <c r="B48" s="3" t="s">
        <v>474</v>
      </c>
      <c r="C48" s="3">
        <v>0.125</v>
      </c>
      <c r="D48" s="3" t="s">
        <v>475</v>
      </c>
      <c r="E48" s="3">
        <v>0.24</v>
      </c>
      <c r="F48" s="3">
        <v>0.115</v>
      </c>
    </row>
    <row r="49" spans="1:8" x14ac:dyDescent="0.3">
      <c r="A49" s="3" t="s">
        <v>285</v>
      </c>
      <c r="B49" s="3" t="s">
        <v>476</v>
      </c>
      <c r="C49" s="3">
        <v>1.7</v>
      </c>
      <c r="D49" s="3" t="s">
        <v>477</v>
      </c>
      <c r="E49" s="3">
        <v>3.4</v>
      </c>
      <c r="F49" s="3">
        <v>1.7</v>
      </c>
    </row>
    <row r="50" spans="1:8" x14ac:dyDescent="0.3">
      <c r="A50" s="3" t="s">
        <v>284</v>
      </c>
      <c r="B50" s="3"/>
      <c r="D50" s="3" t="s">
        <v>478</v>
      </c>
      <c r="E50" s="3"/>
      <c r="F50" s="3"/>
    </row>
    <row r="51" spans="1:8" x14ac:dyDescent="0.3">
      <c r="B51" s="3"/>
      <c r="C51" s="3"/>
      <c r="D51" s="3"/>
      <c r="E51" s="3"/>
    </row>
    <row r="53" spans="1:8" x14ac:dyDescent="0.3">
      <c r="C53" s="31">
        <v>2024</v>
      </c>
      <c r="D53" s="31">
        <v>2025</v>
      </c>
      <c r="E53" s="31">
        <v>2026</v>
      </c>
      <c r="F53" s="31">
        <v>2027</v>
      </c>
      <c r="G53" s="31">
        <v>2028</v>
      </c>
    </row>
    <row r="54" spans="1:8" x14ac:dyDescent="0.3">
      <c r="A54" s="39" t="s">
        <v>482</v>
      </c>
      <c r="C54">
        <v>77.13</v>
      </c>
      <c r="D54">
        <v>78.599999999999994</v>
      </c>
      <c r="E54">
        <v>79.61</v>
      </c>
      <c r="F54">
        <v>77.5</v>
      </c>
      <c r="G54">
        <v>76.47</v>
      </c>
    </row>
    <row r="55" spans="1:8" x14ac:dyDescent="0.3">
      <c r="A55" s="39"/>
      <c r="C55" s="58">
        <v>-6.0000000000000001E-3</v>
      </c>
      <c r="D55" s="58">
        <f>(D54-C54)/C54</f>
        <v>1.9058732010890689E-2</v>
      </c>
      <c r="E55" s="58">
        <f t="shared" ref="E55:G55" si="9">(E54-D54)/D54</f>
        <v>1.2849872773536962E-2</v>
      </c>
      <c r="F55" s="58">
        <f t="shared" si="9"/>
        <v>-2.6504208014068577E-2</v>
      </c>
      <c r="G55" s="58">
        <f t="shared" si="9"/>
        <v>-1.3290322580645176E-2</v>
      </c>
    </row>
    <row r="56" spans="1:8" x14ac:dyDescent="0.3">
      <c r="A56" s="39" t="s">
        <v>483</v>
      </c>
      <c r="C56">
        <v>105.2</v>
      </c>
      <c r="D56">
        <v>103.3</v>
      </c>
      <c r="E56">
        <v>106.7</v>
      </c>
      <c r="F56">
        <v>102.7</v>
      </c>
      <c r="G56">
        <v>98.9</v>
      </c>
    </row>
    <row r="57" spans="1:8" x14ac:dyDescent="0.3">
      <c r="C57" s="58">
        <v>-0.126</v>
      </c>
      <c r="D57" s="58">
        <f>(D56-C56)/C56</f>
        <v>-1.8060836501901194E-2</v>
      </c>
      <c r="E57" s="58">
        <f t="shared" ref="E57:G57" si="10">(E56-D56)/D56</f>
        <v>3.2913843175217866E-2</v>
      </c>
      <c r="F57" s="58">
        <f t="shared" si="10"/>
        <v>-3.7488284910965321E-2</v>
      </c>
      <c r="G57" s="58">
        <f t="shared" si="10"/>
        <v>-3.7000973709834441E-2</v>
      </c>
    </row>
    <row r="59" spans="1:8" x14ac:dyDescent="0.3">
      <c r="A59" t="s">
        <v>485</v>
      </c>
      <c r="C59" s="6">
        <f>AVERAGE(C55,C57)</f>
        <v>-6.6000000000000003E-2</v>
      </c>
      <c r="D59" s="6">
        <f t="shared" ref="D59:G59" si="11">AVERAGE(D55,D57)</f>
        <v>4.9894775449474751E-4</v>
      </c>
      <c r="E59" s="6">
        <f t="shared" si="11"/>
        <v>2.2881857974377414E-2</v>
      </c>
      <c r="F59" s="6">
        <f t="shared" si="11"/>
        <v>-3.1996246462516947E-2</v>
      </c>
      <c r="G59" s="6">
        <f t="shared" si="11"/>
        <v>-2.5145648145239809E-2</v>
      </c>
      <c r="H59" s="6"/>
    </row>
    <row r="60" spans="1:8" x14ac:dyDescent="0.3">
      <c r="A60" t="s">
        <v>486</v>
      </c>
      <c r="C60" s="58">
        <v>0.03</v>
      </c>
      <c r="D60" s="58">
        <f>Q16</f>
        <v>4.9992537058170472E-2</v>
      </c>
      <c r="E60" s="58">
        <f>R16</f>
        <v>7.4974128284439667E-2</v>
      </c>
      <c r="F60" s="58">
        <f>S16</f>
        <v>9.9900980286935712E-2</v>
      </c>
      <c r="G60" s="58">
        <f>T16</f>
        <v>0.12499991497542089</v>
      </c>
    </row>
    <row r="61" spans="1:8" x14ac:dyDescent="0.3">
      <c r="A61" t="s">
        <v>484</v>
      </c>
      <c r="C61" s="58">
        <v>0</v>
      </c>
      <c r="D61" s="6">
        <v>-1.4999999999999999E-2</v>
      </c>
      <c r="E61" s="6">
        <v>-2.5000000000000001E-2</v>
      </c>
      <c r="F61" s="6">
        <v>-3.5000000000000003E-2</v>
      </c>
      <c r="G61" s="6">
        <v>-3.5000000000000003E-2</v>
      </c>
    </row>
    <row r="63" spans="1:8" x14ac:dyDescent="0.3">
      <c r="C63" s="6">
        <f t="shared" ref="C63:F63" si="12">SUM(C59:C61)</f>
        <v>-3.6000000000000004E-2</v>
      </c>
      <c r="D63" s="6">
        <f t="shared" si="12"/>
        <v>3.5491484812665217E-2</v>
      </c>
      <c r="E63" s="6">
        <f t="shared" si="12"/>
        <v>7.285598625881709E-2</v>
      </c>
      <c r="F63" s="6">
        <f t="shared" si="12"/>
        <v>3.2904733824418761E-2</v>
      </c>
      <c r="G63" s="6">
        <f>SUM(G59:G61)</f>
        <v>6.485426683018107E-2</v>
      </c>
    </row>
  </sheetData>
  <hyperlinks>
    <hyperlink ref="B29" r:id="rId1" xr:uid="{68DE74DC-1A89-42E5-B25D-7BDDCDAB1BAF}"/>
    <hyperlink ref="B30" r:id="rId2" xr:uid="{95422BDE-5211-4A60-B6B8-DD927A942CF2}"/>
    <hyperlink ref="H4" r:id="rId3" xr:uid="{9D2EABBB-2247-4954-87C0-3085D325FF0B}"/>
    <hyperlink ref="H8" r:id="rId4" xr:uid="{1F157F9E-DCD8-48E8-8779-8FB118084D3A}"/>
    <hyperlink ref="H11" r:id="rId5" xr:uid="{0D3E569E-6F0E-4AD9-AC5A-47F7D1F7946D}"/>
    <hyperlink ref="H9" r:id="rId6" xr:uid="{A2A428D8-EEBC-4406-B577-23C9E976575D}"/>
    <hyperlink ref="H6" r:id="rId7" xr:uid="{814414D5-D7DB-4F2A-9293-AB695BF5CCF9}"/>
    <hyperlink ref="H5" r:id="rId8" location=":~:text=The%20China%20Infrastructure%20Market%20size,4.65%25%20between%202023%20and%202028." xr:uid="{93D42D88-AB70-4CB1-A146-43EEA15B0AFE}"/>
    <hyperlink ref="B32" r:id="rId9" xr:uid="{6208DC5A-4C79-4008-8202-611ED9FA8E92}"/>
    <hyperlink ref="A54" r:id="rId10" xr:uid="{E3D907E5-42F4-49DA-907F-25706D61D75F}"/>
    <hyperlink ref="A56" r:id="rId11" xr:uid="{E590AC4E-2B8E-489C-A7E3-1556FB4D61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"/>
  <sheetViews>
    <sheetView workbookViewId="0">
      <selection activeCell="J5" sqref="J5"/>
    </sheetView>
  </sheetViews>
  <sheetFormatPr defaultRowHeight="14.4" x14ac:dyDescent="0.3"/>
  <cols>
    <col min="1" max="1" width="20.44140625" bestFit="1" customWidth="1"/>
    <col min="7" max="7" width="8.88671875" style="33"/>
    <col min="15" max="15" width="11" bestFit="1" customWidth="1"/>
  </cols>
  <sheetData>
    <row r="1" spans="1:25" x14ac:dyDescent="0.3">
      <c r="A1" s="43"/>
      <c r="B1" s="47">
        <v>2018</v>
      </c>
      <c r="C1" s="47">
        <v>2019</v>
      </c>
      <c r="D1" s="47">
        <v>2020</v>
      </c>
      <c r="E1" s="47">
        <v>2021</v>
      </c>
      <c r="F1" s="47">
        <v>2022</v>
      </c>
      <c r="G1" s="69">
        <v>2023</v>
      </c>
      <c r="H1" s="47" t="s">
        <v>269</v>
      </c>
      <c r="I1" s="47" t="s">
        <v>270</v>
      </c>
      <c r="J1" s="47" t="s">
        <v>271</v>
      </c>
      <c r="K1" s="47" t="s">
        <v>272</v>
      </c>
      <c r="L1" s="47" t="s">
        <v>273</v>
      </c>
    </row>
    <row r="2" spans="1:25" x14ac:dyDescent="0.3">
      <c r="A2" s="47" t="s">
        <v>274</v>
      </c>
      <c r="B2">
        <v>54.29</v>
      </c>
      <c r="C2">
        <v>62.11</v>
      </c>
      <c r="D2">
        <v>64.84</v>
      </c>
      <c r="E2">
        <v>84.61</v>
      </c>
      <c r="F2">
        <v>80.14</v>
      </c>
      <c r="G2" s="33">
        <v>81.42</v>
      </c>
      <c r="H2" s="32">
        <f>Assumptions!C25/1000</f>
        <v>79.11017369728232</v>
      </c>
      <c r="I2" s="32">
        <f>Assumptions!D25/1000</f>
        <v>74.788368457887699</v>
      </c>
      <c r="J2" s="32">
        <f>Assumptions!E25/1000</f>
        <v>73.072896436211749</v>
      </c>
      <c r="K2" s="32">
        <f>Assumptions!F25/1000</f>
        <v>77.323521024854116</v>
      </c>
      <c r="L2" s="32">
        <f>Assumptions!G25/1000</f>
        <v>86.131481701420753</v>
      </c>
    </row>
    <row r="3" spans="1:25" x14ac:dyDescent="0.3">
      <c r="A3" s="43" t="s">
        <v>276</v>
      </c>
      <c r="C3" s="35">
        <f>(C2-B2)/B2</f>
        <v>0.14404125990053418</v>
      </c>
      <c r="D3" s="35">
        <f t="shared" ref="D3:H3" si="0">(D2-C2)/C2</f>
        <v>4.3954274673965607E-2</v>
      </c>
      <c r="E3" s="35">
        <f t="shared" si="0"/>
        <v>0.30490438001233799</v>
      </c>
      <c r="F3" s="35">
        <f t="shared" si="0"/>
        <v>-5.2830634676752142E-2</v>
      </c>
      <c r="G3" s="36">
        <f t="shared" si="0"/>
        <v>1.5972048914399815E-2</v>
      </c>
      <c r="H3" s="6">
        <f t="shared" si="0"/>
        <v>-2.8369274167497929E-2</v>
      </c>
      <c r="I3" s="6">
        <f t="shared" ref="I3" si="1">(I2-H2)/H2</f>
        <v>-5.4630207941802157E-2</v>
      </c>
      <c r="J3" s="6">
        <f t="shared" ref="J3" si="2">(J2-I2)/I2</f>
        <v>-2.2937684790408402E-2</v>
      </c>
      <c r="K3" s="6">
        <f t="shared" ref="K3" si="3">(K2-J2)/J2</f>
        <v>5.8169646968255967E-2</v>
      </c>
      <c r="L3" s="6">
        <f t="shared" ref="L3" si="4">(L2-K2)/K2</f>
        <v>0.113910496571095</v>
      </c>
    </row>
    <row r="4" spans="1:25" x14ac:dyDescent="0.3">
      <c r="A4" s="43"/>
    </row>
    <row r="5" spans="1:25" x14ac:dyDescent="0.3">
      <c r="A5" s="47" t="s">
        <v>353</v>
      </c>
      <c r="B5" s="38">
        <v>22.83</v>
      </c>
      <c r="C5" s="37">
        <v>23.8</v>
      </c>
      <c r="D5" s="37">
        <v>21.44</v>
      </c>
      <c r="E5" s="37">
        <v>24.13</v>
      </c>
      <c r="F5" s="37">
        <v>31.34</v>
      </c>
      <c r="G5" s="33">
        <v>33.85</v>
      </c>
      <c r="H5" s="32">
        <f>G5*(1+Assumptions!C31)</f>
        <v>32.631399999999999</v>
      </c>
      <c r="I5" s="32">
        <f>H5*(1+Assumptions!D31)</f>
        <v>33.789536837516003</v>
      </c>
      <c r="J5" s="32">
        <f>I5*(1+Assumptions!E31)</f>
        <v>36.251306869041869</v>
      </c>
      <c r="K5" s="32">
        <f>J5*(1+Assumptions!F31)</f>
        <v>37.444146472355015</v>
      </c>
      <c r="L5" s="32">
        <f>K5*(1+Assumptions!G31)</f>
        <v>39.872559138901508</v>
      </c>
    </row>
    <row r="6" spans="1:25" x14ac:dyDescent="0.3">
      <c r="A6" s="43" t="s">
        <v>276</v>
      </c>
      <c r="C6" s="35">
        <f>(C5-B5)/B5</f>
        <v>4.248795444590462E-2</v>
      </c>
      <c r="D6" s="35">
        <f t="shared" ref="D6:F6" si="5">(D5-C5)/C5</f>
        <v>-9.9159663865546185E-2</v>
      </c>
      <c r="E6" s="35">
        <f t="shared" si="5"/>
        <v>0.12546641791044766</v>
      </c>
      <c r="F6" s="35">
        <f t="shared" si="5"/>
        <v>0.29879817654372154</v>
      </c>
      <c r="G6" s="36">
        <f t="shared" ref="G6:L6" si="6">(G5-F5)/F5</f>
        <v>8.0089342693044088E-2</v>
      </c>
      <c r="H6" s="58">
        <f t="shared" si="6"/>
        <v>-3.600000000000006E-2</v>
      </c>
      <c r="I6" s="58">
        <f t="shared" si="6"/>
        <v>3.5491484812665224E-2</v>
      </c>
      <c r="J6" s="58">
        <f t="shared" si="6"/>
        <v>7.2855986258817271E-2</v>
      </c>
      <c r="K6" s="58">
        <f t="shared" si="6"/>
        <v>3.2904733824418768E-2</v>
      </c>
      <c r="L6" s="58">
        <f t="shared" si="6"/>
        <v>6.4854266830180987E-2</v>
      </c>
      <c r="O6" t="s">
        <v>354</v>
      </c>
      <c r="P6" s="6">
        <v>8.5940000000000003E-2</v>
      </c>
    </row>
    <row r="7" spans="1:25" x14ac:dyDescent="0.3">
      <c r="A7" s="43" t="s">
        <v>275</v>
      </c>
      <c r="C7" s="6">
        <f>(C5/C2)</f>
        <v>0.38319111254226373</v>
      </c>
      <c r="D7" s="6">
        <f t="shared" ref="D7:G7" si="7">(D5/D2)</f>
        <v>0.33066008636644045</v>
      </c>
      <c r="E7" s="6">
        <f t="shared" si="7"/>
        <v>0.28519087578300434</v>
      </c>
      <c r="F7" s="6">
        <f t="shared" si="7"/>
        <v>0.39106563513850762</v>
      </c>
      <c r="G7" s="41">
        <f t="shared" si="7"/>
        <v>0.41574551707197249</v>
      </c>
      <c r="H7" s="6">
        <f>H5/H2</f>
        <v>0.41248044941558493</v>
      </c>
      <c r="I7" s="6">
        <f>I5/I2</f>
        <v>0.45180203197697016</v>
      </c>
      <c r="J7" s="6">
        <f>J5/J2</f>
        <v>0.49609785073576607</v>
      </c>
      <c r="K7" s="6">
        <f>K5/K2</f>
        <v>0.48425299282891343</v>
      </c>
      <c r="L7" s="6">
        <f>L5/L2</f>
        <v>0.46292665993047466</v>
      </c>
      <c r="O7" t="s">
        <v>281</v>
      </c>
      <c r="P7" s="6">
        <f>AVERAGE(C7:G7)</f>
        <v>0.36117064538043769</v>
      </c>
      <c r="R7" t="s">
        <v>352</v>
      </c>
      <c r="S7" s="6">
        <f>AVERAGE(H7:L7)</f>
        <v>0.46151199697754192</v>
      </c>
    </row>
    <row r="8" spans="1:25" x14ac:dyDescent="0.3">
      <c r="A8" s="43"/>
      <c r="C8" s="6"/>
      <c r="D8" s="6"/>
      <c r="E8" s="6"/>
      <c r="F8" s="6"/>
      <c r="G8" s="41"/>
      <c r="P8" s="6"/>
    </row>
    <row r="9" spans="1:25" x14ac:dyDescent="0.3">
      <c r="A9" s="47" t="s">
        <v>277</v>
      </c>
      <c r="B9">
        <f t="shared" ref="B9:L9" si="8">B2-B5</f>
        <v>31.46</v>
      </c>
      <c r="C9">
        <f t="shared" si="8"/>
        <v>38.31</v>
      </c>
      <c r="D9">
        <f t="shared" si="8"/>
        <v>43.400000000000006</v>
      </c>
      <c r="E9">
        <f t="shared" si="8"/>
        <v>60.480000000000004</v>
      </c>
      <c r="F9">
        <f t="shared" si="8"/>
        <v>48.8</v>
      </c>
      <c r="G9" s="33">
        <f t="shared" si="8"/>
        <v>47.57</v>
      </c>
      <c r="H9" s="32">
        <f t="shared" si="8"/>
        <v>46.478773697282321</v>
      </c>
      <c r="I9" s="32">
        <f t="shared" si="8"/>
        <v>40.998831620371696</v>
      </c>
      <c r="J9" s="32">
        <f t="shared" si="8"/>
        <v>36.82158956716988</v>
      </c>
      <c r="K9" s="32">
        <f t="shared" si="8"/>
        <v>39.879374552499101</v>
      </c>
      <c r="L9" s="32">
        <f t="shared" si="8"/>
        <v>46.258922562519246</v>
      </c>
    </row>
    <row r="10" spans="1:25" x14ac:dyDescent="0.3">
      <c r="A10" s="43" t="s">
        <v>276</v>
      </c>
      <c r="C10" s="6">
        <f>(C9-B9)/B9</f>
        <v>0.21773680864589959</v>
      </c>
      <c r="D10" s="6">
        <f t="shared" ref="D10:G10" si="9">(D9-C9)/C9</f>
        <v>0.13286348211955112</v>
      </c>
      <c r="E10" s="6">
        <f t="shared" si="9"/>
        <v>0.39354838709677409</v>
      </c>
      <c r="F10" s="6">
        <f t="shared" si="9"/>
        <v>-0.19312169312169322</v>
      </c>
      <c r="G10" s="41">
        <f t="shared" si="9"/>
        <v>-2.5204918032786822E-2</v>
      </c>
      <c r="H10" s="58">
        <f>(H9-G9)/G9</f>
        <v>-2.2939379918387202E-2</v>
      </c>
      <c r="I10" s="58">
        <f>(I9-H9)/H9</f>
        <v>-0.11790203658559616</v>
      </c>
      <c r="J10" s="58">
        <f>(J9-I9)/I9</f>
        <v>-0.10188685599338416</v>
      </c>
      <c r="K10" s="58">
        <f>(K9-J9)/J9</f>
        <v>8.3043264054399782E-2</v>
      </c>
      <c r="L10" s="58">
        <f>(L9-K9)/K9</f>
        <v>0.15997111493365587</v>
      </c>
      <c r="Q10" s="37"/>
      <c r="R10" s="37"/>
      <c r="S10" s="37"/>
      <c r="T10" s="37"/>
      <c r="U10" s="37"/>
      <c r="V10" s="38"/>
    </row>
    <row r="11" spans="1:25" x14ac:dyDescent="0.3">
      <c r="A11" s="43" t="s">
        <v>275</v>
      </c>
      <c r="C11" s="6">
        <f t="shared" ref="C11:L11" si="10">1-C7</f>
        <v>0.61680888745773621</v>
      </c>
      <c r="D11" s="6">
        <f t="shared" si="10"/>
        <v>0.6693399136335596</v>
      </c>
      <c r="E11" s="6">
        <f t="shared" si="10"/>
        <v>0.71480912421699561</v>
      </c>
      <c r="F11" s="6">
        <f t="shared" si="10"/>
        <v>0.60893436486149244</v>
      </c>
      <c r="G11" s="41">
        <f t="shared" si="10"/>
        <v>0.58425448292802751</v>
      </c>
      <c r="H11" s="58">
        <f t="shared" si="10"/>
        <v>0.58751955058441507</v>
      </c>
      <c r="I11" s="58">
        <f t="shared" si="10"/>
        <v>0.54819796802302978</v>
      </c>
      <c r="J11" s="58">
        <f t="shared" si="10"/>
        <v>0.50390214926423393</v>
      </c>
      <c r="K11" s="58">
        <f t="shared" si="10"/>
        <v>0.51574700717108657</v>
      </c>
      <c r="L11" s="58">
        <f t="shared" si="10"/>
        <v>0.53707334006952534</v>
      </c>
      <c r="O11" t="s">
        <v>281</v>
      </c>
      <c r="P11" s="6">
        <f>AVERAGE(C11:G11)</f>
        <v>0.63882935461956225</v>
      </c>
      <c r="R11" t="s">
        <v>352</v>
      </c>
      <c r="S11" s="6">
        <f>AVERAGE(H11:L11)</f>
        <v>0.53848800302245814</v>
      </c>
    </row>
    <row r="12" spans="1:25" x14ac:dyDescent="0.3">
      <c r="A12" s="43"/>
      <c r="Q12" s="37"/>
      <c r="S12" s="37"/>
      <c r="T12" s="37"/>
      <c r="U12" s="37"/>
      <c r="V12" s="37"/>
      <c r="W12" s="37"/>
      <c r="X12" s="38"/>
    </row>
    <row r="13" spans="1:25" x14ac:dyDescent="0.3">
      <c r="A13" s="47" t="s">
        <v>278</v>
      </c>
      <c r="B13" s="38">
        <v>10.51</v>
      </c>
      <c r="C13" s="37">
        <v>11.208</v>
      </c>
      <c r="D13" s="37">
        <v>11.44</v>
      </c>
      <c r="E13" s="37">
        <v>12.76</v>
      </c>
      <c r="F13" s="37">
        <v>14.6</v>
      </c>
      <c r="G13" s="42">
        <v>16.41</v>
      </c>
      <c r="H13" s="32">
        <f>$P$13*H2</f>
        <v>14.374318560796198</v>
      </c>
      <c r="I13" s="32">
        <f>$P$13*I2</f>
        <v>13.589046548798194</v>
      </c>
      <c r="J13" s="32">
        <f>$P$13*J2</f>
        <v>13.277345282459676</v>
      </c>
      <c r="K13" s="32">
        <f>$P$13*K2</f>
        <v>14.049683770215992</v>
      </c>
      <c r="L13" s="32">
        <f>$P$13*L2</f>
        <v>15.650090225148151</v>
      </c>
      <c r="O13" t="s">
        <v>351</v>
      </c>
      <c r="P13" s="6">
        <v>0.1817</v>
      </c>
      <c r="Q13" s="37"/>
      <c r="R13" t="s">
        <v>352</v>
      </c>
      <c r="S13" s="6">
        <v>0.1817</v>
      </c>
      <c r="T13" s="37"/>
      <c r="U13" s="37"/>
      <c r="V13" s="37"/>
      <c r="W13" s="37"/>
      <c r="X13" s="37"/>
      <c r="Y13" s="38"/>
    </row>
    <row r="14" spans="1:25" x14ac:dyDescent="0.3">
      <c r="A14" s="47" t="s">
        <v>279</v>
      </c>
      <c r="B14" s="38">
        <v>2.8</v>
      </c>
      <c r="C14" s="37">
        <v>4.28</v>
      </c>
      <c r="D14" s="37">
        <v>4.28</v>
      </c>
      <c r="E14" s="37">
        <v>6.52</v>
      </c>
      <c r="F14" s="37">
        <v>4.3</v>
      </c>
      <c r="G14" s="42">
        <v>5.73</v>
      </c>
      <c r="H14" s="32">
        <f>H2*0.0595</f>
        <v>4.707055334988298</v>
      </c>
      <c r="I14" s="32">
        <f>I2*0.0595</f>
        <v>4.4499079232443179</v>
      </c>
      <c r="J14" s="32">
        <f>J2*0.0595</f>
        <v>4.3478373379545987</v>
      </c>
      <c r="K14" s="32">
        <f>K2*0.0595</f>
        <v>4.6007495009788197</v>
      </c>
      <c r="L14" s="32">
        <f>L2*0.0595</f>
        <v>5.1248231612345343</v>
      </c>
      <c r="O14" t="s">
        <v>351</v>
      </c>
      <c r="P14" s="6">
        <v>5.9499999999999997E-2</v>
      </c>
      <c r="Q14" s="37"/>
      <c r="R14" t="s">
        <v>352</v>
      </c>
      <c r="S14" s="6">
        <v>5.9499999999999997E-2</v>
      </c>
      <c r="T14" s="37"/>
      <c r="U14" s="37"/>
      <c r="V14" s="37"/>
      <c r="W14" s="37"/>
      <c r="X14" s="37"/>
      <c r="Y14" s="38"/>
    </row>
    <row r="15" spans="1:25" x14ac:dyDescent="0.3">
      <c r="A15" s="43"/>
      <c r="Q15" s="37"/>
    </row>
    <row r="16" spans="1:25" x14ac:dyDescent="0.3">
      <c r="A16" s="47" t="s">
        <v>298</v>
      </c>
      <c r="B16">
        <f t="shared" ref="B16:L16" si="11">SUM(B5,B13:B14)</f>
        <v>36.139999999999993</v>
      </c>
      <c r="C16">
        <f t="shared" si="11"/>
        <v>39.288000000000004</v>
      </c>
      <c r="D16">
        <f t="shared" si="11"/>
        <v>37.160000000000004</v>
      </c>
      <c r="E16">
        <f t="shared" si="11"/>
        <v>43.41</v>
      </c>
      <c r="F16">
        <f t="shared" si="11"/>
        <v>50.239999999999995</v>
      </c>
      <c r="G16" s="33">
        <f t="shared" si="11"/>
        <v>55.990000000000009</v>
      </c>
      <c r="H16" s="60">
        <f t="shared" si="11"/>
        <v>51.712773895784494</v>
      </c>
      <c r="I16" s="60">
        <f t="shared" si="11"/>
        <v>51.828491309558515</v>
      </c>
      <c r="J16" s="60">
        <f t="shared" si="11"/>
        <v>53.876489489456148</v>
      </c>
      <c r="K16" s="60">
        <f t="shared" si="11"/>
        <v>56.094579743549829</v>
      </c>
      <c r="L16" s="60">
        <f t="shared" si="11"/>
        <v>60.647472525284186</v>
      </c>
    </row>
    <row r="17" spans="1:19" x14ac:dyDescent="0.3">
      <c r="A17" s="47"/>
      <c r="C17" s="58">
        <f t="shared" ref="C17:L17" si="12">C16/C2</f>
        <v>0.6325551440991789</v>
      </c>
      <c r="D17" s="58">
        <f t="shared" si="12"/>
        <v>0.57310302282541647</v>
      </c>
      <c r="E17" s="58">
        <f t="shared" si="12"/>
        <v>0.51305992199503603</v>
      </c>
      <c r="F17" s="58">
        <f t="shared" si="12"/>
        <v>0.62690291989019209</v>
      </c>
      <c r="G17" s="36">
        <f t="shared" si="12"/>
        <v>0.68766887742569405</v>
      </c>
      <c r="H17" s="58">
        <f t="shared" si="12"/>
        <v>0.6536804494155849</v>
      </c>
      <c r="I17" s="58">
        <f t="shared" si="12"/>
        <v>0.69300203197697008</v>
      </c>
      <c r="J17" s="58">
        <f t="shared" si="12"/>
        <v>0.73729785073576615</v>
      </c>
      <c r="K17" s="58">
        <f t="shared" si="12"/>
        <v>0.7254529928289134</v>
      </c>
      <c r="L17" s="58">
        <f t="shared" si="12"/>
        <v>0.70412665993047463</v>
      </c>
      <c r="O17" t="s">
        <v>351</v>
      </c>
      <c r="P17" s="6">
        <f>AVERAGE(C17:G17)</f>
        <v>0.60665797724710357</v>
      </c>
      <c r="Q17" s="37"/>
      <c r="R17" t="s">
        <v>352</v>
      </c>
      <c r="S17" s="6">
        <f>AVERAGE(H17:L17)</f>
        <v>0.70271199697754194</v>
      </c>
    </row>
    <row r="18" spans="1:19" x14ac:dyDescent="0.3">
      <c r="A18" s="43"/>
      <c r="Q18" s="38"/>
    </row>
    <row r="19" spans="1:19" x14ac:dyDescent="0.3">
      <c r="A19" s="47" t="s">
        <v>288</v>
      </c>
      <c r="B19">
        <f t="shared" ref="B19:L19" si="13">B9-B13-B14</f>
        <v>18.150000000000002</v>
      </c>
      <c r="C19">
        <f t="shared" si="13"/>
        <v>22.822000000000003</v>
      </c>
      <c r="D19">
        <f t="shared" si="13"/>
        <v>27.680000000000007</v>
      </c>
      <c r="E19">
        <f t="shared" si="13"/>
        <v>41.2</v>
      </c>
      <c r="F19">
        <f t="shared" si="13"/>
        <v>29.899999999999995</v>
      </c>
      <c r="G19" s="33">
        <f t="shared" si="13"/>
        <v>25.43</v>
      </c>
      <c r="H19" s="32">
        <f t="shared" si="13"/>
        <v>27.397399801497826</v>
      </c>
      <c r="I19" s="32">
        <f t="shared" si="13"/>
        <v>22.959877148329184</v>
      </c>
      <c r="J19" s="32">
        <f t="shared" si="13"/>
        <v>19.196406946755605</v>
      </c>
      <c r="K19" s="32">
        <f t="shared" si="13"/>
        <v>21.228941281304287</v>
      </c>
      <c r="L19" s="32">
        <f t="shared" si="13"/>
        <v>25.48400917613656</v>
      </c>
    </row>
    <row r="20" spans="1:19" x14ac:dyDescent="0.3">
      <c r="A20" s="43" t="s">
        <v>275</v>
      </c>
      <c r="C20" s="58">
        <f t="shared" ref="C20:L20" si="14">C19/C2</f>
        <v>0.36744485590082115</v>
      </c>
      <c r="D20" s="58">
        <f t="shared" si="14"/>
        <v>0.42689697717458369</v>
      </c>
      <c r="E20" s="58">
        <f t="shared" si="14"/>
        <v>0.48694007800496397</v>
      </c>
      <c r="F20" s="58">
        <f t="shared" si="14"/>
        <v>0.37309708010980774</v>
      </c>
      <c r="G20" s="36">
        <f t="shared" si="14"/>
        <v>0.31233112257430606</v>
      </c>
      <c r="H20" s="58">
        <f t="shared" si="14"/>
        <v>0.34631955058441505</v>
      </c>
      <c r="I20" s="58">
        <f t="shared" si="14"/>
        <v>0.30699796802302987</v>
      </c>
      <c r="J20" s="58">
        <f t="shared" si="14"/>
        <v>0.26270214926423391</v>
      </c>
      <c r="K20" s="58">
        <f t="shared" si="14"/>
        <v>0.2745470071710866</v>
      </c>
      <c r="L20" s="58">
        <f t="shared" si="14"/>
        <v>0.29587334006952531</v>
      </c>
      <c r="O20" t="s">
        <v>351</v>
      </c>
      <c r="P20" s="6">
        <f>AVERAGE(C20:G20)</f>
        <v>0.39334202275289654</v>
      </c>
      <c r="R20" t="s">
        <v>355</v>
      </c>
      <c r="S20" s="6">
        <f>AVERAGE(H20:L20)</f>
        <v>0.29728800302245811</v>
      </c>
    </row>
    <row r="21" spans="1:19" x14ac:dyDescent="0.3">
      <c r="A21" s="43"/>
    </row>
    <row r="22" spans="1:19" x14ac:dyDescent="0.3">
      <c r="A22" s="47" t="s">
        <v>318</v>
      </c>
      <c r="B22">
        <f>B19-B25</f>
        <v>-5.5039999999999978</v>
      </c>
      <c r="C22">
        <f t="shared" ref="C22:F22" si="15">C19-C25</f>
        <v>7.2580000000000027</v>
      </c>
      <c r="D22">
        <f t="shared" si="15"/>
        <v>6.2570000000000086</v>
      </c>
      <c r="E22">
        <f t="shared" si="15"/>
        <v>1.5020000000000024</v>
      </c>
      <c r="F22">
        <f t="shared" si="15"/>
        <v>4.1009999999999955</v>
      </c>
      <c r="G22" s="33">
        <f>G19-G25</f>
        <v>5.6780000000000008</v>
      </c>
      <c r="H22" s="32">
        <f>P22</f>
        <v>4.9592000000000018</v>
      </c>
      <c r="I22" s="32">
        <f>H22*(1+Assumptions!D29)</f>
        <v>5.1069841600000023</v>
      </c>
      <c r="J22" s="32">
        <f>I22*(1+Assumptions!E29)</f>
        <v>5.2438513354880021</v>
      </c>
      <c r="K22" s="32">
        <f>J22*(1+Assumptions!F29)</f>
        <v>5.3843865512790803</v>
      </c>
      <c r="L22" s="32">
        <f>K22*(1+Assumptions!G29)</f>
        <v>5.5227652856469529</v>
      </c>
      <c r="O22" t="s">
        <v>351</v>
      </c>
      <c r="P22">
        <f>AVERAGE(C22:G22)</f>
        <v>4.9592000000000018</v>
      </c>
    </row>
    <row r="23" spans="1:19" x14ac:dyDescent="0.3">
      <c r="A23" s="43" t="s">
        <v>319</v>
      </c>
      <c r="C23" s="58">
        <f>(C22-B22)/-B22</f>
        <v>2.3186773255813962</v>
      </c>
      <c r="D23" s="58">
        <f>(D22-C22)/C22</f>
        <v>-0.13791678148250119</v>
      </c>
      <c r="E23" s="58">
        <f>(E22-D22)/D22</f>
        <v>-0.75994885727984651</v>
      </c>
      <c r="F23" s="58">
        <f>(F22-E22)/E22</f>
        <v>1.7303595206391404</v>
      </c>
      <c r="G23" s="36">
        <f>(G22-F22)/F22</f>
        <v>0.38454035601073078</v>
      </c>
    </row>
    <row r="24" spans="1:19" x14ac:dyDescent="0.3">
      <c r="A24" s="43"/>
    </row>
    <row r="25" spans="1:19" x14ac:dyDescent="0.3">
      <c r="A25" s="47" t="s">
        <v>314</v>
      </c>
      <c r="B25">
        <v>23.654</v>
      </c>
      <c r="C25">
        <v>15.564</v>
      </c>
      <c r="D25">
        <v>21.422999999999998</v>
      </c>
      <c r="E25">
        <v>39.698</v>
      </c>
      <c r="F25">
        <v>25.798999999999999</v>
      </c>
      <c r="G25" s="33">
        <v>19.751999999999999</v>
      </c>
      <c r="H25" s="32">
        <f>H19-H22</f>
        <v>22.438199801497824</v>
      </c>
      <c r="I25" s="32">
        <f>I19-I22</f>
        <v>17.852892988329181</v>
      </c>
      <c r="J25" s="32">
        <f>J19-J22</f>
        <v>13.952555611267602</v>
      </c>
      <c r="K25" s="32">
        <f>K19-K22</f>
        <v>15.844554730025207</v>
      </c>
      <c r="L25" s="32">
        <f>L19-L22</f>
        <v>19.961243890489605</v>
      </c>
    </row>
    <row r="26" spans="1:19" x14ac:dyDescent="0.3">
      <c r="A26" s="43"/>
      <c r="B26" s="6"/>
      <c r="C26" s="6">
        <f>C25/C2</f>
        <v>0.25058766704234425</v>
      </c>
      <c r="D26" s="6">
        <f>D25/D2</f>
        <v>0.33039790252930284</v>
      </c>
      <c r="E26" s="6">
        <f>E25/E2</f>
        <v>0.46918803923886065</v>
      </c>
      <c r="F26" s="6">
        <f>F25/F2</f>
        <v>0.32192413276765658</v>
      </c>
      <c r="G26" s="36">
        <f>G25/G2</f>
        <v>0.24259395725865879</v>
      </c>
      <c r="O26" t="s">
        <v>351</v>
      </c>
      <c r="P26" s="6">
        <f>AVERAGE(C26:G26)</f>
        <v>0.32293833976736463</v>
      </c>
    </row>
    <row r="27" spans="1:19" x14ac:dyDescent="0.3">
      <c r="A27" s="43"/>
    </row>
    <row r="28" spans="1:19" x14ac:dyDescent="0.3">
      <c r="A28" s="47" t="s">
        <v>261</v>
      </c>
      <c r="H28">
        <v>0.3</v>
      </c>
      <c r="I28">
        <v>0.3</v>
      </c>
      <c r="J28">
        <v>0.3</v>
      </c>
      <c r="K28">
        <v>0.3</v>
      </c>
      <c r="L28">
        <v>0.3</v>
      </c>
    </row>
    <row r="29" spans="1:19" x14ac:dyDescent="0.3">
      <c r="A29" s="43"/>
    </row>
    <row r="30" spans="1:19" x14ac:dyDescent="0.3">
      <c r="A30" s="43"/>
    </row>
    <row r="31" spans="1:19" x14ac:dyDescent="0.3">
      <c r="A31" s="47" t="s">
        <v>299</v>
      </c>
      <c r="B31">
        <v>15.154</v>
      </c>
      <c r="C31">
        <v>17.875</v>
      </c>
      <c r="D31">
        <v>28.137</v>
      </c>
      <c r="E31">
        <v>14.199</v>
      </c>
      <c r="F31">
        <v>11.525</v>
      </c>
      <c r="G31" s="33">
        <v>18.274000000000001</v>
      </c>
      <c r="H31" s="32">
        <f>H25*(1-H28)</f>
        <v>15.706739861048476</v>
      </c>
      <c r="I31" s="32">
        <f>I25*(1-I28)</f>
        <v>12.497025091830427</v>
      </c>
      <c r="J31" s="32">
        <f>J25*(1-J28)</f>
        <v>9.7667889278873208</v>
      </c>
      <c r="K31" s="32">
        <f>K25*(1-K28)</f>
        <v>11.091188311017644</v>
      </c>
      <c r="L31" s="32">
        <f>L25*(1-L28)</f>
        <v>13.972870723342723</v>
      </c>
    </row>
    <row r="32" spans="1:19" x14ac:dyDescent="0.3">
      <c r="A32" s="43"/>
    </row>
    <row r="33" spans="1:17" x14ac:dyDescent="0.3">
      <c r="A33" s="43"/>
    </row>
    <row r="34" spans="1:17" x14ac:dyDescent="0.3">
      <c r="A34" s="47" t="s">
        <v>300</v>
      </c>
      <c r="B34">
        <v>5.3789999999999996</v>
      </c>
      <c r="C34">
        <v>6.3079999999999998</v>
      </c>
      <c r="D34">
        <v>6.2190000000000003</v>
      </c>
      <c r="E34">
        <v>6.2590000000000003</v>
      </c>
      <c r="F34">
        <v>7.2270000000000003</v>
      </c>
      <c r="G34" s="33">
        <v>8.0370000000000008</v>
      </c>
      <c r="H34" s="32">
        <f>G34*(1+$Q$36)</f>
        <v>8.758682936547924</v>
      </c>
      <c r="I34" s="32">
        <f t="shared" ref="I34:L34" si="16">H34*(1+$Q$36)</f>
        <v>9.5451694392155968</v>
      </c>
      <c r="J34" s="32">
        <f t="shared" si="16"/>
        <v>10.402278548428065</v>
      </c>
      <c r="K34" s="32">
        <f t="shared" si="16"/>
        <v>11.336351825722954</v>
      </c>
      <c r="L34" s="32">
        <f t="shared" si="16"/>
        <v>12.35430027356769</v>
      </c>
    </row>
    <row r="35" spans="1:17" x14ac:dyDescent="0.3">
      <c r="A35" s="43" t="s">
        <v>385</v>
      </c>
      <c r="C35" s="6">
        <f>(C34-B34)/B34</f>
        <v>0.17270868191113598</v>
      </c>
      <c r="D35" s="6">
        <f>(D34-C34)/C34</f>
        <v>-1.4109067850348688E-2</v>
      </c>
      <c r="E35" s="6">
        <f>(E34-D34)/D34</f>
        <v>6.431902235086032E-3</v>
      </c>
      <c r="F35" s="6">
        <f>(F34-E34)/E34</f>
        <v>0.15465729349736379</v>
      </c>
      <c r="G35" s="41">
        <f>(G34-F34)/F34</f>
        <v>0.11207970112079707</v>
      </c>
      <c r="O35" t="s">
        <v>351</v>
      </c>
      <c r="P35" s="6">
        <f>AVERAGE(C35:G35)</f>
        <v>8.635370218280683E-2</v>
      </c>
    </row>
    <row r="36" spans="1:17" x14ac:dyDescent="0.3">
      <c r="A36" s="43" t="s">
        <v>386</v>
      </c>
      <c r="B36" s="6">
        <f t="shared" ref="B36:G36" si="17">B34/B2</f>
        <v>9.9079020077362301E-2</v>
      </c>
      <c r="C36" s="6">
        <f t="shared" si="17"/>
        <v>0.10156174529061343</v>
      </c>
      <c r="D36" s="6">
        <f t="shared" si="17"/>
        <v>9.591301665638495E-2</v>
      </c>
      <c r="E36" s="6">
        <f t="shared" si="17"/>
        <v>7.3974707481385182E-2</v>
      </c>
      <c r="F36" s="6">
        <f t="shared" si="17"/>
        <v>9.0179685550287006E-2</v>
      </c>
      <c r="G36" s="41">
        <f t="shared" si="17"/>
        <v>9.8710390567428155E-2</v>
      </c>
      <c r="O36" t="s">
        <v>351</v>
      </c>
      <c r="P36" s="6">
        <f>AVERAGE(B36:G36)</f>
        <v>9.3236427603910169E-2</v>
      </c>
      <c r="Q36" s="6">
        <f>AVERAGE(P35:P36)</f>
        <v>8.9795064893358506E-2</v>
      </c>
    </row>
    <row r="37" spans="1:17" x14ac:dyDescent="0.3">
      <c r="A37" s="43"/>
    </row>
    <row r="38" spans="1:17" x14ac:dyDescent="0.3">
      <c r="A38" s="47" t="s">
        <v>301</v>
      </c>
      <c r="B38">
        <f>SUM(B19,B34)</f>
        <v>23.529000000000003</v>
      </c>
      <c r="C38">
        <f t="shared" ref="C38:G38" si="18">SUM(C19,C34)</f>
        <v>29.130000000000003</v>
      </c>
      <c r="D38">
        <f t="shared" si="18"/>
        <v>33.899000000000008</v>
      </c>
      <c r="E38">
        <f t="shared" si="18"/>
        <v>47.459000000000003</v>
      </c>
      <c r="F38">
        <f t="shared" si="18"/>
        <v>37.126999999999995</v>
      </c>
      <c r="G38" s="33">
        <f t="shared" si="18"/>
        <v>33.466999999999999</v>
      </c>
      <c r="H38" s="32">
        <f>H19+H34</f>
        <v>36.156082738045754</v>
      </c>
      <c r="I38" s="32">
        <f t="shared" ref="I38:L38" si="19">I19+I34</f>
        <v>32.505046587544783</v>
      </c>
      <c r="J38" s="32">
        <f t="shared" si="19"/>
        <v>29.59868549518367</v>
      </c>
      <c r="K38" s="32">
        <f t="shared" si="19"/>
        <v>32.565293107027244</v>
      </c>
      <c r="L38" s="32">
        <f t="shared" si="19"/>
        <v>37.838309449704248</v>
      </c>
    </row>
    <row r="39" spans="1:17" x14ac:dyDescent="0.3">
      <c r="A39" s="43" t="s">
        <v>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526B-3541-4FDE-9A47-035E430A3298}">
  <dimension ref="A1:U53"/>
  <sheetViews>
    <sheetView topLeftCell="A40" zoomScale="85" zoomScaleNormal="85" workbookViewId="0">
      <selection activeCell="G56" sqref="G56"/>
    </sheetView>
  </sheetViews>
  <sheetFormatPr defaultRowHeight="14.4" x14ac:dyDescent="0.3"/>
  <cols>
    <col min="1" max="1" width="72.109375" bestFit="1" customWidth="1"/>
    <col min="3" max="7" width="10.5546875" bestFit="1" customWidth="1"/>
    <col min="8" max="8" width="13.5546875" customWidth="1"/>
    <col min="9" max="9" width="10.88671875" customWidth="1"/>
    <col min="10" max="10" width="12.6640625" customWidth="1"/>
    <col min="11" max="11" width="10" customWidth="1"/>
    <col min="12" max="12" width="11.6640625" customWidth="1"/>
    <col min="13" max="13" width="18.6640625" bestFit="1" customWidth="1"/>
    <col min="14" max="14" width="19.5546875" bestFit="1" customWidth="1"/>
    <col min="16" max="16" width="12.44140625" bestFit="1" customWidth="1"/>
  </cols>
  <sheetData>
    <row r="1" spans="1:21" x14ac:dyDescent="0.3">
      <c r="A1" t="s">
        <v>350</v>
      </c>
      <c r="B1" s="31">
        <v>2018</v>
      </c>
      <c r="C1" s="31">
        <v>2019</v>
      </c>
      <c r="D1" s="31">
        <v>2020</v>
      </c>
      <c r="E1" s="31">
        <v>2021</v>
      </c>
      <c r="F1" s="31">
        <v>2022</v>
      </c>
      <c r="G1" s="34">
        <v>2023</v>
      </c>
      <c r="H1" s="31" t="s">
        <v>269</v>
      </c>
      <c r="I1" s="31" t="s">
        <v>270</v>
      </c>
      <c r="J1" s="31" t="s">
        <v>271</v>
      </c>
      <c r="K1" s="31" t="s">
        <v>272</v>
      </c>
      <c r="L1" s="31" t="s">
        <v>273</v>
      </c>
      <c r="M1" s="31" t="s">
        <v>360</v>
      </c>
      <c r="N1" s="31" t="s">
        <v>366</v>
      </c>
    </row>
    <row r="2" spans="1:21" x14ac:dyDescent="0.3">
      <c r="A2" s="47" t="s">
        <v>302</v>
      </c>
      <c r="B2" s="47"/>
      <c r="C2" s="47">
        <v>15.15</v>
      </c>
      <c r="D2" s="47">
        <v>16.97</v>
      </c>
      <c r="E2" s="47">
        <v>21.06</v>
      </c>
      <c r="F2" s="47">
        <v>13.07</v>
      </c>
      <c r="G2" s="47">
        <v>15.79</v>
      </c>
      <c r="H2" s="65">
        <f>G2+(M2*0.33)+(Q3*0.33)+(H47+0.33)</f>
        <v>17.245910387838169</v>
      </c>
      <c r="I2" s="65">
        <f>H2+(M2+Q3+H47)</f>
        <v>18.403622916914607</v>
      </c>
      <c r="J2" s="65">
        <f>I2+(M2+Q3+H47)</f>
        <v>19.561335445991045</v>
      </c>
      <c r="K2" s="65">
        <f>J2+(M2+Q3+H47)</f>
        <v>20.719047975067483</v>
      </c>
      <c r="L2" s="65">
        <f>K2+(M2+Q3+H47)</f>
        <v>21.87676050414392</v>
      </c>
      <c r="M2" s="51">
        <f>AVERAGE(D3:G3)</f>
        <v>4.7465882445173795E-2</v>
      </c>
      <c r="N2" s="43"/>
      <c r="O2" s="43"/>
      <c r="P2" s="61"/>
      <c r="Q2" s="61"/>
    </row>
    <row r="3" spans="1:21" x14ac:dyDescent="0.3">
      <c r="A3" s="43"/>
      <c r="B3" s="43"/>
      <c r="C3" s="43"/>
      <c r="D3" s="51">
        <f>(D2-C2)/C2</f>
        <v>0.12013201320132003</v>
      </c>
      <c r="E3" s="51">
        <f t="shared" ref="E3:G3" si="0">(E2-D2)/D2</f>
        <v>0.24101355332940483</v>
      </c>
      <c r="F3" s="51">
        <f t="shared" si="0"/>
        <v>-0.37939221272554602</v>
      </c>
      <c r="G3" s="51">
        <f t="shared" si="0"/>
        <v>0.20811017597551637</v>
      </c>
      <c r="H3" s="43"/>
      <c r="I3" s="43"/>
      <c r="J3" s="43"/>
      <c r="K3" s="43"/>
      <c r="L3" s="43"/>
      <c r="M3" s="43"/>
      <c r="N3" s="43"/>
      <c r="O3" s="43"/>
      <c r="P3" s="61"/>
      <c r="Q3" s="61"/>
    </row>
    <row r="4" spans="1:21" x14ac:dyDescent="0.3">
      <c r="A4" s="31" t="s">
        <v>361</v>
      </c>
      <c r="B4" s="31"/>
      <c r="C4" s="57">
        <v>1.01</v>
      </c>
      <c r="D4" s="57">
        <v>1.03</v>
      </c>
      <c r="E4" s="57">
        <v>1.1100000000000001</v>
      </c>
      <c r="F4" s="57">
        <v>1.24</v>
      </c>
      <c r="G4" s="57">
        <v>1.31</v>
      </c>
      <c r="H4" s="66">
        <f>G4*(1+$M$4)</f>
        <v>1.3987658008003974</v>
      </c>
      <c r="I4" s="66">
        <f t="shared" ref="I4:L4" si="1">H4*(1+$M$4)</f>
        <v>1.4935463858692954</v>
      </c>
      <c r="J4" s="66">
        <f t="shared" si="1"/>
        <v>1.5947493179106904</v>
      </c>
      <c r="K4" s="66">
        <f t="shared" si="1"/>
        <v>1.7028097761398735</v>
      </c>
      <c r="L4" s="66">
        <f t="shared" si="1"/>
        <v>1.8181924275824699</v>
      </c>
      <c r="M4" s="32">
        <f>AVERAGE(D5:G5)</f>
        <v>6.7760153282746025E-2</v>
      </c>
    </row>
    <row r="5" spans="1:21" x14ac:dyDescent="0.3">
      <c r="D5" s="32">
        <f>(D4-C4)/C4</f>
        <v>1.980198019801982E-2</v>
      </c>
      <c r="E5" s="32">
        <f t="shared" ref="E5" si="2">(E4-D4)/D4</f>
        <v>7.7669902912621422E-2</v>
      </c>
      <c r="F5" s="32">
        <f t="shared" ref="F5" si="3">(F4-E4)/E4</f>
        <v>0.11711711711711702</v>
      </c>
      <c r="G5" s="32">
        <f t="shared" ref="G5" si="4">(G4-F4)/F4</f>
        <v>5.645161290322586E-2</v>
      </c>
      <c r="H5" s="32">
        <f>(H6/365)*'Balance Sheet'!H2</f>
        <v>1.31</v>
      </c>
      <c r="I5" s="60">
        <f>(I6/365)*'Balance Sheet'!I2</f>
        <v>1.3987658008003974</v>
      </c>
      <c r="J5" s="32">
        <f>(J6/365)*'Balance Sheet'!J2</f>
        <v>1.4935463858692954</v>
      </c>
      <c r="K5" s="32">
        <f>(K6/365)*'Balance Sheet'!K2</f>
        <v>1.5947493179106904</v>
      </c>
      <c r="L5" s="32">
        <f>(L6/365)*'Balance Sheet'!L2</f>
        <v>1.7028097761398735</v>
      </c>
      <c r="M5" s="46">
        <f>AVERAGE(C4:G4)</f>
        <v>1.1400000000000001</v>
      </c>
    </row>
    <row r="6" spans="1:21" x14ac:dyDescent="0.3">
      <c r="A6" t="s">
        <v>367</v>
      </c>
      <c r="H6" s="32">
        <f>(G4/'Balance Sheet'!H2)*365</f>
        <v>27.725413692117513</v>
      </c>
      <c r="I6" s="32">
        <f>(H4/'Balance Sheet'!I2)*365</f>
        <v>27.741794080278808</v>
      </c>
      <c r="J6" s="32">
        <f>(I4/'Balance Sheet'!J2)*365</f>
        <v>27.86846697391595</v>
      </c>
      <c r="K6" s="32">
        <f>(J4/'Balance Sheet'!K2)*365</f>
        <v>28.094123906554938</v>
      </c>
      <c r="L6" s="32">
        <f>(K4/'Balance Sheet'!L2)*365</f>
        <v>28.410310940384601</v>
      </c>
    </row>
    <row r="7" spans="1:21" x14ac:dyDescent="0.3">
      <c r="A7" s="47" t="s">
        <v>303</v>
      </c>
      <c r="B7" s="47"/>
      <c r="C7" s="67">
        <v>4.93</v>
      </c>
      <c r="D7" s="67">
        <v>5.09</v>
      </c>
      <c r="E7" s="67">
        <v>7.49</v>
      </c>
      <c r="F7" s="67">
        <v>9.1199999999999992</v>
      </c>
      <c r="G7" s="67">
        <v>9.7799999999999994</v>
      </c>
      <c r="H7" s="65">
        <v>10</v>
      </c>
      <c r="I7" s="65">
        <v>11</v>
      </c>
      <c r="J7" s="65">
        <v>12</v>
      </c>
      <c r="K7" s="65">
        <v>13</v>
      </c>
      <c r="L7" s="65">
        <v>12</v>
      </c>
      <c r="M7" s="51">
        <f>AVERAGE(D8:G8)</f>
        <v>0.19848976256056317</v>
      </c>
      <c r="N7" s="43"/>
      <c r="O7" s="43"/>
      <c r="P7" s="68"/>
    </row>
    <row r="8" spans="1:21" x14ac:dyDescent="0.3">
      <c r="A8" s="43"/>
      <c r="B8" s="43"/>
      <c r="C8" s="43"/>
      <c r="D8" s="51">
        <f>(D7-C7)/C7</f>
        <v>3.2454361054766762E-2</v>
      </c>
      <c r="E8" s="51">
        <f t="shared" ref="E8" si="5">(E7-D7)/D7</f>
        <v>0.47151277013752463</v>
      </c>
      <c r="F8" s="51">
        <f t="shared" ref="F8" si="6">(F7-E7)/E7</f>
        <v>0.21762349799732963</v>
      </c>
      <c r="G8" s="51">
        <f t="shared" ref="G8" si="7">(G7-F7)/F7</f>
        <v>7.2368421052631596E-2</v>
      </c>
      <c r="H8" s="43"/>
      <c r="I8" s="43"/>
      <c r="J8" s="43"/>
      <c r="K8" s="43"/>
      <c r="L8" s="43"/>
      <c r="M8" s="43"/>
      <c r="N8" s="43"/>
      <c r="O8" s="43"/>
      <c r="P8" s="68"/>
    </row>
    <row r="9" spans="1:21" x14ac:dyDescent="0.3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68"/>
    </row>
    <row r="10" spans="1:21" x14ac:dyDescent="0.3">
      <c r="A10" s="31" t="s">
        <v>304</v>
      </c>
      <c r="B10" s="31"/>
      <c r="C10" s="54">
        <v>24.64</v>
      </c>
      <c r="D10" s="54">
        <v>27.11</v>
      </c>
      <c r="E10" s="54">
        <v>33.65</v>
      </c>
      <c r="F10" s="54">
        <v>27.85</v>
      </c>
      <c r="G10" s="54">
        <v>31.59</v>
      </c>
      <c r="H10" s="66">
        <f>H2+H4+H7</f>
        <v>28.644676188638567</v>
      </c>
      <c r="I10" s="66">
        <f t="shared" ref="I10:L10" si="8">I2+I4+I7</f>
        <v>30.897169302783901</v>
      </c>
      <c r="J10" s="66">
        <f t="shared" si="8"/>
        <v>33.156084763901731</v>
      </c>
      <c r="K10" s="66">
        <f t="shared" si="8"/>
        <v>35.421857751207355</v>
      </c>
      <c r="L10" s="66">
        <f t="shared" si="8"/>
        <v>35.694952931726391</v>
      </c>
      <c r="M10" s="32">
        <f>AVERAGE(D11:G11)</f>
        <v>7.5852797409032807E-2</v>
      </c>
    </row>
    <row r="11" spans="1:21" x14ac:dyDescent="0.3">
      <c r="C11" s="54"/>
      <c r="D11" s="32">
        <f>(D10-C10)/C10</f>
        <v>0.10024350649350644</v>
      </c>
      <c r="E11" s="32">
        <f t="shared" ref="E11" si="9">(E10-D10)/D10</f>
        <v>0.24123939505717445</v>
      </c>
      <c r="F11" s="32">
        <f t="shared" ref="F11" si="10">(F10-E10)/E10</f>
        <v>-0.1723625557206537</v>
      </c>
      <c r="G11" s="32">
        <f t="shared" ref="G11" si="11">(G10-F10)/F10</f>
        <v>0.13429084380610407</v>
      </c>
    </row>
    <row r="12" spans="1:21" x14ac:dyDescent="0.3">
      <c r="B12" t="s">
        <v>364</v>
      </c>
      <c r="C12">
        <f>1-(C2+C7)/C10</f>
        <v>0.18506493506493515</v>
      </c>
      <c r="D12">
        <f t="shared" ref="D12:G12" si="12">1-(D2+D7)/D10</f>
        <v>0.18627812615271122</v>
      </c>
      <c r="E12">
        <f t="shared" si="12"/>
        <v>0.15156017830609214</v>
      </c>
      <c r="F12">
        <f t="shared" si="12"/>
        <v>0.20323159784560152</v>
      </c>
      <c r="G12">
        <f t="shared" si="12"/>
        <v>0.1905666350110794</v>
      </c>
      <c r="M12" s="32">
        <f>AVERAGE(C12:G12)</f>
        <v>0.18334029447608388</v>
      </c>
    </row>
    <row r="13" spans="1:21" x14ac:dyDescent="0.3">
      <c r="A13" s="47" t="s">
        <v>440</v>
      </c>
      <c r="B13" s="47"/>
      <c r="C13" s="67">
        <v>81.709999999999994</v>
      </c>
      <c r="D13" s="67">
        <v>81.73</v>
      </c>
      <c r="E13" s="67">
        <v>89.43</v>
      </c>
      <c r="F13" s="67">
        <v>95.02</v>
      </c>
      <c r="G13" s="67">
        <v>97.6</v>
      </c>
      <c r="H13" s="65">
        <f>G13*(1+M13*0.33)+(1+Assumptions!C31*0.33)+(1+'Income Statement'!H3*0.33)</f>
        <v>101.06126489555598</v>
      </c>
      <c r="I13" s="65">
        <f>H13*(1+M13*0.33)+(1+Assumptions!D31*0.33)+(1+'Income Statement'!I3*0.33)</f>
        <v>104.59003116590623</v>
      </c>
      <c r="J13" s="65">
        <f>I13*(1+M13*0.33)+(1+Assumptions!E31*0.33)+(1+'Income Statement'!J3*0.33)</f>
        <v>108.19518686744999</v>
      </c>
      <c r="K13" s="65">
        <f>J13*(1+M13*0.33)+(1+Assumptions!F31*0.33)+(1+'Income Statement'!K3*0.33)</f>
        <v>111.86868501455687</v>
      </c>
      <c r="L13" s="65">
        <f>K13*(1+M13*0.33)+(1+Assumptions!G31*0.33)+(1+'Income Statement'!L3*0.33)</f>
        <v>115.62692002297945</v>
      </c>
      <c r="M13" s="51">
        <f>AVERAGE(D14:G14)</f>
        <v>4.6029146672605437E-2</v>
      </c>
      <c r="N13" s="43" t="s">
        <v>368</v>
      </c>
      <c r="O13" s="43"/>
      <c r="Q13">
        <v>161.44</v>
      </c>
      <c r="R13">
        <v>159.36000000000001</v>
      </c>
      <c r="S13">
        <v>174.04</v>
      </c>
      <c r="T13">
        <v>186.04</v>
      </c>
      <c r="U13">
        <v>197.31</v>
      </c>
    </row>
    <row r="14" spans="1:21" x14ac:dyDescent="0.3">
      <c r="A14" s="43"/>
      <c r="B14" s="43"/>
      <c r="C14" s="48">
        <f>AVERAGE(C13:G13)</f>
        <v>89.097999999999999</v>
      </c>
      <c r="D14" s="51">
        <f>(D13-C13)/C13</f>
        <v>2.4476808224220087E-4</v>
      </c>
      <c r="E14" s="51">
        <f t="shared" ref="E14" si="13">(E13-D13)/D13</f>
        <v>9.4212651413189796E-2</v>
      </c>
      <c r="F14" s="51">
        <f t="shared" ref="F14" si="14">(F13-E13)/E13</f>
        <v>6.2506988706250571E-2</v>
      </c>
      <c r="G14" s="51">
        <f t="shared" ref="G14" si="15">(G13-F13)/F13</f>
        <v>2.7152178488739197E-2</v>
      </c>
      <c r="H14" s="43"/>
      <c r="I14" s="76">
        <f>I13/H13-1</f>
        <v>3.4917099780980676E-2</v>
      </c>
      <c r="J14" s="76">
        <f t="shared" ref="J14:L14" si="16">J13/I13-1</f>
        <v>3.446940077706917E-2</v>
      </c>
      <c r="K14" s="76">
        <f t="shared" si="16"/>
        <v>3.3952509843226952E-2</v>
      </c>
      <c r="L14" s="76">
        <f t="shared" si="16"/>
        <v>3.3595058419910284E-2</v>
      </c>
      <c r="M14" s="43"/>
      <c r="N14" s="43"/>
      <c r="O14" s="43"/>
      <c r="Q14" s="67">
        <v>79.73</v>
      </c>
      <c r="R14" s="67">
        <v>77.63</v>
      </c>
      <c r="S14" s="67">
        <v>84.61</v>
      </c>
      <c r="T14" s="67">
        <v>91.03</v>
      </c>
      <c r="U14" s="67">
        <v>99.7</v>
      </c>
    </row>
    <row r="15" spans="1:21" x14ac:dyDescent="0.3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</row>
    <row r="16" spans="1:21" x14ac:dyDescent="0.3">
      <c r="A16" s="31" t="s">
        <v>305</v>
      </c>
      <c r="B16" s="31"/>
      <c r="C16" s="57">
        <v>6.4</v>
      </c>
      <c r="D16" s="57">
        <v>6</v>
      </c>
      <c r="E16" s="57">
        <v>7.21</v>
      </c>
      <c r="F16" s="57">
        <v>6.44</v>
      </c>
      <c r="G16" s="57">
        <v>7.04</v>
      </c>
      <c r="H16" s="66">
        <f>C17*(1+M16+Q3)</f>
        <v>6.8257030379756385</v>
      </c>
      <c r="I16" s="66">
        <f>H16*(1+$M$16+$Q$3)</f>
        <v>7.039924745033221</v>
      </c>
      <c r="J16" s="66">
        <f t="shared" ref="J16:K16" si="17">I16*(1+$M$16+$Q$3)</f>
        <v>7.2608697067532679</v>
      </c>
      <c r="K16" s="66">
        <f t="shared" si="17"/>
        <v>7.4887489295453404</v>
      </c>
      <c r="L16" s="66">
        <f>K16*(1+$M$16+$Q$3)</f>
        <v>7.7237800421629554</v>
      </c>
      <c r="M16" s="32">
        <f>AVERAGE(D17:G17)</f>
        <v>3.1384563006291569E-2</v>
      </c>
      <c r="N16" t="s">
        <v>369</v>
      </c>
    </row>
    <row r="17" spans="1:15" x14ac:dyDescent="0.3">
      <c r="C17" s="46">
        <f>AVERAGE(C16:G16)</f>
        <v>6.6180000000000003</v>
      </c>
      <c r="D17" s="32">
        <f>(D16-C16)/C16</f>
        <v>-6.2500000000000056E-2</v>
      </c>
      <c r="E17" s="32">
        <f t="shared" ref="E17" si="18">(E16-D16)/D16</f>
        <v>0.20166666666666666</v>
      </c>
      <c r="F17" s="32">
        <f t="shared" ref="F17" si="19">(F16-E16)/E16</f>
        <v>-0.10679611650485431</v>
      </c>
      <c r="G17" s="32">
        <f t="shared" ref="G17" si="20">(G16-F16)/F16</f>
        <v>9.3167701863353977E-2</v>
      </c>
    </row>
    <row r="18" spans="1:15" x14ac:dyDescent="0.3">
      <c r="A18" t="s">
        <v>370</v>
      </c>
      <c r="C18" s="32">
        <f>1-(C13+C16)/C19</f>
        <v>0.12249775918733197</v>
      </c>
      <c r="D18" s="32">
        <f t="shared" ref="D18:G18" si="21">1-(D13+D16)/D19</f>
        <v>0.11802553533728755</v>
      </c>
      <c r="E18" s="32">
        <f t="shared" si="21"/>
        <v>0.10584752035529232</v>
      </c>
      <c r="F18" s="32">
        <f t="shared" si="21"/>
        <v>0.11148086522462564</v>
      </c>
      <c r="G18" s="32">
        <f t="shared" si="21"/>
        <v>0.13140200879887109</v>
      </c>
      <c r="M18" s="32">
        <f>AVERAGE(C18:G18)</f>
        <v>0.11785073778068171</v>
      </c>
    </row>
    <row r="19" spans="1:15" x14ac:dyDescent="0.3">
      <c r="A19" s="47" t="s">
        <v>306</v>
      </c>
      <c r="B19" s="47"/>
      <c r="C19" s="63">
        <v>100.41</v>
      </c>
      <c r="D19" s="64">
        <v>99.47</v>
      </c>
      <c r="E19" s="63">
        <v>108.08</v>
      </c>
      <c r="F19" s="63">
        <v>114.19</v>
      </c>
      <c r="G19" s="63">
        <v>120.47</v>
      </c>
      <c r="H19" s="51">
        <f>H13+H16</f>
        <v>107.88696793353162</v>
      </c>
      <c r="I19" s="51">
        <f>I13+I16</f>
        <v>111.62995591093944</v>
      </c>
      <c r="J19" s="51">
        <f>J13+J16</f>
        <v>115.45605657420326</v>
      </c>
      <c r="K19" s="51">
        <f>K13+K16</f>
        <v>119.35743394410221</v>
      </c>
      <c r="L19" s="51">
        <f>L13+L16</f>
        <v>123.35070006514241</v>
      </c>
      <c r="M19" s="51">
        <f>AVERAGE(D20:G20)</f>
        <v>4.7181350409494269E-2</v>
      </c>
      <c r="N19" s="43"/>
      <c r="O19" s="43"/>
    </row>
    <row r="20" spans="1:15" x14ac:dyDescent="0.3">
      <c r="A20" s="43"/>
      <c r="B20" s="43"/>
      <c r="C20" s="63"/>
      <c r="D20" s="51">
        <f>(D19-C19)/C19</f>
        <v>-9.3616173687879473E-3</v>
      </c>
      <c r="E20" s="51">
        <f t="shared" ref="E20" si="22">(E19-D19)/D19</f>
        <v>8.6558761435608728E-2</v>
      </c>
      <c r="F20" s="51">
        <f t="shared" ref="F20" si="23">(F19-E19)/E19</f>
        <v>5.6532198371576609E-2</v>
      </c>
      <c r="G20" s="51">
        <f t="shared" ref="G20" si="24">(G19-F19)/F19</f>
        <v>5.4996059199579658E-2</v>
      </c>
      <c r="H20" s="43"/>
      <c r="I20" s="43"/>
      <c r="J20" s="43"/>
      <c r="K20" s="43"/>
      <c r="L20" s="43"/>
      <c r="M20" s="43"/>
      <c r="N20" s="43"/>
      <c r="O20" s="43"/>
    </row>
    <row r="21" spans="1:15" x14ac:dyDescent="0.3">
      <c r="A21" s="31" t="s">
        <v>307</v>
      </c>
      <c r="B21" s="31"/>
      <c r="C21" s="53">
        <v>125.06</v>
      </c>
      <c r="D21" s="53">
        <v>126.58</v>
      </c>
      <c r="E21" s="53">
        <v>141.72999999999999</v>
      </c>
      <c r="F21" s="53">
        <v>142.04</v>
      </c>
      <c r="G21" s="53">
        <v>152.05000000000001</v>
      </c>
      <c r="H21" s="66">
        <f>H19+H10</f>
        <v>136.53164412217018</v>
      </c>
      <c r="I21" s="66">
        <f t="shared" ref="I21:L21" si="25">I19+I10</f>
        <v>142.52712521372334</v>
      </c>
      <c r="J21" s="66">
        <f t="shared" si="25"/>
        <v>148.612141338105</v>
      </c>
      <c r="K21" s="66">
        <f t="shared" si="25"/>
        <v>154.77929169530955</v>
      </c>
      <c r="L21" s="66">
        <f t="shared" si="25"/>
        <v>159.0456529968688</v>
      </c>
      <c r="M21" s="32">
        <f>AVERAGE(D22:G22)</f>
        <v>5.1125420999436386E-2</v>
      </c>
    </row>
    <row r="22" spans="1:15" x14ac:dyDescent="0.3">
      <c r="C22" s="53"/>
      <c r="D22" s="32">
        <f>(D21-C21)/C21</f>
        <v>1.2154166000319815E-2</v>
      </c>
      <c r="E22" s="32">
        <f t="shared" ref="E22" si="26">(E21-D21)/D21</f>
        <v>0.11968715436877857</v>
      </c>
      <c r="F22" s="32">
        <f t="shared" ref="F22" si="27">(F21-E21)/E21</f>
        <v>2.1872574613702274E-3</v>
      </c>
      <c r="G22" s="32">
        <f t="shared" ref="G22" si="28">(G21-F21)/F21</f>
        <v>7.0473106167276964E-2</v>
      </c>
    </row>
    <row r="23" spans="1:15" x14ac:dyDescent="0.3">
      <c r="A23" s="47" t="s">
        <v>308</v>
      </c>
      <c r="B23" s="47"/>
      <c r="C23" s="67">
        <v>8.32</v>
      </c>
      <c r="D23" s="67">
        <v>8.44</v>
      </c>
      <c r="E23" s="67">
        <v>9.2200000000000006</v>
      </c>
      <c r="F23" s="67">
        <v>9.5399999999999991</v>
      </c>
      <c r="G23" s="67">
        <v>10.039999999999999</v>
      </c>
      <c r="H23" s="65">
        <f>G23*(1+$M$23)</f>
        <v>10.526835077866949</v>
      </c>
      <c r="I23" s="65">
        <f t="shared" ref="I23:L23" si="29">H23*(1+$M$23)</f>
        <v>11.03727656938347</v>
      </c>
      <c r="J23" s="65">
        <f t="shared" si="29"/>
        <v>11.57246913891483</v>
      </c>
      <c r="K23" s="65">
        <f t="shared" si="29"/>
        <v>12.133612955085793</v>
      </c>
      <c r="L23" s="65">
        <f t="shared" si="29"/>
        <v>12.721966382157168</v>
      </c>
      <c r="M23" s="51">
        <f>AVERAGE(D24:G24)</f>
        <v>4.8489549588341604E-2</v>
      </c>
      <c r="N23" s="43"/>
      <c r="O23" s="43"/>
    </row>
    <row r="24" spans="1:15" x14ac:dyDescent="0.3">
      <c r="A24" s="43"/>
      <c r="B24" s="43"/>
      <c r="C24" s="43"/>
      <c r="D24" s="51">
        <f>(D23-C23)/C23</f>
        <v>1.4423076923076828E-2</v>
      </c>
      <c r="E24" s="51">
        <f>(E23-D23)/D23</f>
        <v>9.2417061611374543E-2</v>
      </c>
      <c r="F24" s="51">
        <f>(F23-E23)/E23</f>
        <v>3.4707158351409813E-2</v>
      </c>
      <c r="G24" s="51">
        <f>(G23-F23)/F23</f>
        <v>5.2410901467505246E-2</v>
      </c>
      <c r="H24" s="43"/>
      <c r="I24" s="43"/>
      <c r="J24" s="43"/>
      <c r="K24" s="43"/>
      <c r="L24" s="43"/>
      <c r="M24" s="43"/>
      <c r="N24" s="43"/>
      <c r="O24" s="43"/>
    </row>
    <row r="25" spans="1:15" x14ac:dyDescent="0.3">
      <c r="A25" t="s">
        <v>439</v>
      </c>
      <c r="C25">
        <v>1.46</v>
      </c>
      <c r="D25" s="32">
        <v>0.76</v>
      </c>
      <c r="E25" s="32">
        <v>1.57</v>
      </c>
      <c r="F25" s="32">
        <v>1.78</v>
      </c>
      <c r="G25" s="32">
        <v>1.72</v>
      </c>
      <c r="H25" s="32">
        <f>G25*(1+$M$26)</f>
        <v>2.0151466316669735</v>
      </c>
      <c r="I25" s="32">
        <f t="shared" ref="I25:L25" si="30">H25*(1+$M$26)</f>
        <v>2.3609395041388077</v>
      </c>
      <c r="J25" s="32">
        <f t="shared" si="30"/>
        <v>2.7660693542644266</v>
      </c>
      <c r="K25" s="32">
        <f t="shared" si="30"/>
        <v>3.240718222211163</v>
      </c>
      <c r="L25" s="32">
        <f t="shared" si="30"/>
        <v>3.7968153544596559</v>
      </c>
    </row>
    <row r="26" spans="1:15" x14ac:dyDescent="0.3">
      <c r="D26" s="32">
        <f>(D25-C25)/C25</f>
        <v>-0.47945205479452052</v>
      </c>
      <c r="E26" s="32">
        <f t="shared" ref="E26:G26" si="31">(E25-D25)/D25</f>
        <v>1.0657894736842106</v>
      </c>
      <c r="F26" s="32">
        <f t="shared" si="31"/>
        <v>0.13375796178343946</v>
      </c>
      <c r="G26" s="32">
        <f t="shared" si="31"/>
        <v>-3.3707865168539353E-2</v>
      </c>
      <c r="M26" s="32">
        <f>AVERAGE(D26:G26)</f>
        <v>0.17159687887614755</v>
      </c>
    </row>
    <row r="27" spans="1:15" x14ac:dyDescent="0.3">
      <c r="A27" s="43"/>
      <c r="B27" s="43"/>
      <c r="C27" s="43"/>
      <c r="D27" s="51"/>
      <c r="E27" s="51"/>
      <c r="F27" s="51"/>
      <c r="G27" s="51"/>
      <c r="H27" s="43"/>
      <c r="I27" s="43"/>
      <c r="J27" s="43"/>
      <c r="K27" s="43"/>
      <c r="L27" s="43"/>
      <c r="M27" s="43"/>
      <c r="N27" s="43"/>
      <c r="O27" s="43"/>
    </row>
    <row r="28" spans="1:15" x14ac:dyDescent="0.3">
      <c r="A28" s="43"/>
      <c r="B28" s="43"/>
      <c r="C28" s="43"/>
      <c r="D28" s="51"/>
      <c r="E28" s="51"/>
      <c r="F28" s="51"/>
      <c r="G28" s="51"/>
      <c r="H28" s="43"/>
      <c r="I28" s="43"/>
      <c r="J28" s="43"/>
      <c r="K28" s="43"/>
      <c r="L28" s="43"/>
      <c r="M28" s="43"/>
      <c r="N28" s="43"/>
      <c r="O28" s="43"/>
    </row>
    <row r="29" spans="1:15" x14ac:dyDescent="0.3">
      <c r="A29" t="s">
        <v>284</v>
      </c>
      <c r="C29" s="56">
        <v>1.45</v>
      </c>
      <c r="D29" s="56">
        <v>1.28</v>
      </c>
      <c r="E29" s="56">
        <v>1.44</v>
      </c>
      <c r="F29" s="56">
        <v>1.88</v>
      </c>
      <c r="G29" s="56">
        <v>2.0499999999999998</v>
      </c>
      <c r="H29" s="32">
        <f>G29*(1+$M$29)</f>
        <v>2.2569166004320533</v>
      </c>
      <c r="I29" s="32">
        <f t="shared" ref="I29:L29" si="32">H29*(1+$M$29)</f>
        <v>2.4847183128320864</v>
      </c>
      <c r="J29" s="32">
        <f t="shared" si="32"/>
        <v>2.7355131744528101</v>
      </c>
      <c r="K29" s="32">
        <f t="shared" si="32"/>
        <v>3.011621997133235</v>
      </c>
      <c r="L29" s="32">
        <f t="shared" si="32"/>
        <v>3.3155998436860159</v>
      </c>
      <c r="M29" s="32">
        <f>AVERAGE(D30:G30)</f>
        <v>0.10093492704002607</v>
      </c>
    </row>
    <row r="30" spans="1:15" x14ac:dyDescent="0.3">
      <c r="D30" s="32">
        <f>(D29-C29)/C29</f>
        <v>-0.11724137931034478</v>
      </c>
      <c r="E30" s="32">
        <f t="shared" ref="E30" si="33">(E29-D29)/D29</f>
        <v>0.12499999999999993</v>
      </c>
      <c r="F30" s="32">
        <f t="shared" ref="F30" si="34">(F29-E29)/E29</f>
        <v>0.30555555555555552</v>
      </c>
      <c r="G30" s="32">
        <f t="shared" ref="G30" si="35">(G29-F29)/F29</f>
        <v>9.0425531914893581E-2</v>
      </c>
    </row>
    <row r="31" spans="1:15" x14ac:dyDescent="0.3">
      <c r="A31" s="43" t="s">
        <v>309</v>
      </c>
      <c r="B31" s="43"/>
      <c r="C31" s="64">
        <v>15.85</v>
      </c>
      <c r="D31" s="64">
        <v>15.09</v>
      </c>
      <c r="E31" s="64">
        <v>17.39</v>
      </c>
      <c r="F31" s="64">
        <v>17.03</v>
      </c>
      <c r="G31" s="64">
        <v>18.71</v>
      </c>
      <c r="H31" s="51">
        <f>(H29+H25+H23)</f>
        <v>14.798898309965976</v>
      </c>
      <c r="I31" s="51">
        <f t="shared" ref="I31:L31" si="36">(I29+I25+I23)</f>
        <v>15.882934386354364</v>
      </c>
      <c r="J31" s="51">
        <f t="shared" si="36"/>
        <v>17.074051667632066</v>
      </c>
      <c r="K31" s="51">
        <f t="shared" si="36"/>
        <v>18.385953174430192</v>
      </c>
      <c r="L31" s="51">
        <f t="shared" si="36"/>
        <v>19.834381580302839</v>
      </c>
      <c r="M31" s="51">
        <f>AVERAGE(D32:G32)</f>
        <v>4.5604295785358601E-2</v>
      </c>
      <c r="N31" s="43"/>
      <c r="O31" s="43"/>
    </row>
    <row r="32" spans="1:15" x14ac:dyDescent="0.3">
      <c r="A32" s="43"/>
      <c r="B32" s="43"/>
      <c r="C32" s="64">
        <f>AVERAGE(C31:G31)</f>
        <v>16.814</v>
      </c>
      <c r="D32" s="51">
        <f>(D31-C31)/C31</f>
        <v>-4.7949526813880115E-2</v>
      </c>
      <c r="E32" s="51">
        <f t="shared" ref="E32" si="37">(E31-D31)/D31</f>
        <v>0.15241882041086818</v>
      </c>
      <c r="F32" s="51">
        <f t="shared" ref="F32" si="38">(F31-E31)/E31</f>
        <v>-2.0701552616446201E-2</v>
      </c>
      <c r="G32" s="51">
        <f t="shared" ref="G32" si="39">(G31-F31)/F31</f>
        <v>9.8649442160892525E-2</v>
      </c>
      <c r="H32" s="43"/>
      <c r="I32" s="43"/>
      <c r="J32" s="43"/>
      <c r="K32" s="43"/>
      <c r="L32" s="43"/>
      <c r="M32" s="43"/>
      <c r="N32" s="43"/>
      <c r="O32" s="43"/>
    </row>
    <row r="33" spans="1:15" x14ac:dyDescent="0.3">
      <c r="A33" t="s">
        <v>310</v>
      </c>
      <c r="C33" s="56">
        <v>18.649999999999999</v>
      </c>
      <c r="D33" s="56">
        <v>17.22</v>
      </c>
      <c r="E33" s="56">
        <v>17.07</v>
      </c>
      <c r="F33" s="56">
        <v>16.23</v>
      </c>
      <c r="G33" s="56">
        <v>19.36</v>
      </c>
      <c r="H33" s="32">
        <f>G33*(1+($M$33*0.33)+(Assumptions!C31*0.33)+($H$48*0.33))</f>
        <v>19.45560391726076</v>
      </c>
      <c r="I33" s="32">
        <f>H33*(1+($M$33*0.33)+(Assumptions!D31*0.33)+($H$48*0.33))</f>
        <v>20.010680251540258</v>
      </c>
      <c r="J33" s="32">
        <f>I33*(1+($M$33*0.33)+(Assumptions!E31*0.33)+($H$48*0.33))</f>
        <v>20.82833054067752</v>
      </c>
      <c r="K33" s="32">
        <f>J33*(1+($M$33*0.33)+(Assumptions!F31*0.33)+($H$48*0.33))</f>
        <v>21.404791684248007</v>
      </c>
      <c r="L33" s="32">
        <f>K33*(1+($M$33*0.33)+(Assumptions!G31*0.33)+($H$48*0.33))</f>
        <v>22.222885539131848</v>
      </c>
      <c r="M33" s="32">
        <f>AVERAGE(D34:G34)</f>
        <v>1.4564299596287328E-2</v>
      </c>
    </row>
    <row r="34" spans="1:15" x14ac:dyDescent="0.3">
      <c r="C34" s="46">
        <f>AVERAGE(C33:G33)</f>
        <v>17.706</v>
      </c>
      <c r="D34" s="32">
        <f>(D33-C33)/C33</f>
        <v>-7.6675603217158161E-2</v>
      </c>
      <c r="E34" s="32">
        <f t="shared" ref="E34" si="40">(E33-D33)/D33</f>
        <v>-8.710801393728141E-3</v>
      </c>
      <c r="F34" s="32">
        <f t="shared" ref="F34" si="41">(F33-E33)/E33</f>
        <v>-4.9209138840070291E-2</v>
      </c>
      <c r="G34" s="32">
        <f t="shared" ref="G34" si="42">(G33-F33)/F33</f>
        <v>0.1928527418361059</v>
      </c>
    </row>
    <row r="35" spans="1:15" x14ac:dyDescent="0.3">
      <c r="A35" s="43" t="s">
        <v>284</v>
      </c>
      <c r="B35" s="43"/>
      <c r="C35" s="62">
        <v>20.260000000000002</v>
      </c>
      <c r="D35" s="62">
        <v>21.51</v>
      </c>
      <c r="E35" s="62">
        <v>23.05</v>
      </c>
      <c r="F35" s="62">
        <v>26.01</v>
      </c>
      <c r="G35" s="62">
        <v>26.73</v>
      </c>
      <c r="H35" s="51">
        <f>C36*(1+($M$33*0.33)+($Q$3*0.33)+($H$48*0.33))</f>
        <v>23.907429961995611</v>
      </c>
      <c r="I35" s="51">
        <f>H35*(1+($M$33*0.33)+($Q$3*0.33)+($H$48*0.33))</f>
        <v>24.30951035163854</v>
      </c>
      <c r="J35" s="51">
        <f>I35*(1+($M$33*0.33)+($Q$3*0.33)+($H$48*0.33))</f>
        <v>24.718353017276524</v>
      </c>
      <c r="K35" s="51">
        <f>J35*(1+($M$33*0.33)+($Q$3*0.33)+($H$48*0.33))</f>
        <v>25.13407168834728</v>
      </c>
      <c r="L35" s="51">
        <f>K35*(1+($M$33*0.33)+($Q$3*0.33)+($H$48*0.33))</f>
        <v>25.556782007015109</v>
      </c>
      <c r="M35" s="51">
        <f>AVERAGE(D36:G36)</f>
        <v>7.2347670227246516E-2</v>
      </c>
      <c r="N35" s="43"/>
      <c r="O35" s="43"/>
    </row>
    <row r="36" spans="1:15" x14ac:dyDescent="0.3">
      <c r="A36" s="43"/>
      <c r="B36" s="43"/>
      <c r="C36" s="48">
        <f>AVERAGE(C35:G35)</f>
        <v>23.512000000000004</v>
      </c>
      <c r="D36" s="51">
        <f>(D35-C35)/C35</f>
        <v>6.1697926949654487E-2</v>
      </c>
      <c r="E36" s="51">
        <f t="shared" ref="E36" si="43">(E35-D35)/D35</f>
        <v>7.1594607159460671E-2</v>
      </c>
      <c r="F36" s="51">
        <f t="shared" ref="F36" si="44">(F35-E35)/E35</f>
        <v>0.12841648590021695</v>
      </c>
      <c r="G36" s="51">
        <f t="shared" ref="G36" si="45">(G35-F35)/F35</f>
        <v>2.7681660899653935E-2</v>
      </c>
      <c r="H36" s="43"/>
      <c r="I36" s="43"/>
      <c r="J36" s="43"/>
      <c r="K36" s="43"/>
      <c r="L36" s="43"/>
      <c r="M36" s="43"/>
      <c r="N36" s="43"/>
      <c r="O36" s="43"/>
    </row>
    <row r="37" spans="1:15" x14ac:dyDescent="0.3">
      <c r="A37" t="s">
        <v>311</v>
      </c>
      <c r="C37" s="55">
        <v>44.77</v>
      </c>
      <c r="D37" s="55">
        <v>44.03</v>
      </c>
      <c r="E37" s="55">
        <v>46.39</v>
      </c>
      <c r="F37" s="55">
        <v>47.6</v>
      </c>
      <c r="G37" s="55">
        <v>50.61</v>
      </c>
      <c r="H37" s="32">
        <f>C38*(1+($M$37*0.33)+($Q$3*0.33)+($H$48*0.33))</f>
        <v>47.727458356740534</v>
      </c>
      <c r="I37" s="32">
        <f>H37*(1+($M$35*0.33)+($Q$3*0.33)+($H$48*0.33))</f>
        <v>49.440240824454477</v>
      </c>
      <c r="J37" s="32">
        <f>I37*(1+($M$35*0.33)+($Q$3*0.33)+($H$48*0.33))</f>
        <v>51.214489456148506</v>
      </c>
      <c r="K37" s="32">
        <f>J37*(1+($M$35*0.33)+($Q$3*0.33)+($H$48*0.33))</f>
        <v>53.052410071525735</v>
      </c>
      <c r="L37" s="32">
        <f>K37*(1+($M$35*0.33)+($Q$3*0.33)+($H$48*0.33))</f>
        <v>54.956287649947981</v>
      </c>
      <c r="M37" s="32">
        <f>AVERAGE(D38:G38)</f>
        <v>3.1597348597838783E-2</v>
      </c>
    </row>
    <row r="38" spans="1:15" x14ac:dyDescent="0.3">
      <c r="C38" s="55">
        <f>AVERAGE(C37:G37)</f>
        <v>46.679999999999993</v>
      </c>
      <c r="D38" s="32">
        <f>(D37-C37)/C37</f>
        <v>-1.6528925619834753E-2</v>
      </c>
      <c r="E38" s="32">
        <f t="shared" ref="E38" si="46">(E37-D37)/D37</f>
        <v>5.3599818305700646E-2</v>
      </c>
      <c r="F38" s="32">
        <f t="shared" ref="F38" si="47">(F37-E37)/E37</f>
        <v>2.6083207587842227E-2</v>
      </c>
      <c r="G38" s="32">
        <f t="shared" ref="G38" si="48">(G37-F37)/F37</f>
        <v>6.3235294117647015E-2</v>
      </c>
    </row>
    <row r="39" spans="1:15" x14ac:dyDescent="0.3">
      <c r="A39" s="43" t="s">
        <v>312</v>
      </c>
      <c r="B39" s="43"/>
      <c r="C39" s="64">
        <v>60.62</v>
      </c>
      <c r="D39" s="64">
        <v>59.12</v>
      </c>
      <c r="E39" s="64">
        <v>63.78</v>
      </c>
      <c r="F39" s="64">
        <v>64.63</v>
      </c>
      <c r="G39" s="64">
        <v>69.319999999999993</v>
      </c>
      <c r="H39" s="51">
        <f>H31+H37</f>
        <v>62.526356666706512</v>
      </c>
      <c r="I39" s="51">
        <f t="shared" ref="I39:L39" si="49">I31+I37</f>
        <v>65.323175210808841</v>
      </c>
      <c r="J39" s="51">
        <f t="shared" si="49"/>
        <v>68.288541123780576</v>
      </c>
      <c r="K39" s="51">
        <f t="shared" si="49"/>
        <v>71.438363245955927</v>
      </c>
      <c r="L39" s="51">
        <f t="shared" si="49"/>
        <v>74.790669230250813</v>
      </c>
      <c r="M39" s="51">
        <f>AVERAGE(D40:G40)</f>
        <v>3.4993101444175959E-2</v>
      </c>
      <c r="N39" s="43"/>
      <c r="O39" s="43"/>
    </row>
    <row r="40" spans="1:15" x14ac:dyDescent="0.3">
      <c r="A40" s="43"/>
      <c r="B40" s="43"/>
      <c r="C40" s="64"/>
      <c r="D40" s="51">
        <f>(D39-C39)/C39</f>
        <v>-2.4744308808973936E-2</v>
      </c>
      <c r="E40" s="51">
        <f t="shared" ref="E40" si="50">(E39-D39)/D39</f>
        <v>7.8822733423545399E-2</v>
      </c>
      <c r="F40" s="51">
        <f t="shared" ref="F40" si="51">(F39-E39)/E39</f>
        <v>1.3327061774850961E-2</v>
      </c>
      <c r="G40" s="51">
        <f t="shared" ref="G40" si="52">(G39-F39)/F39</f>
        <v>7.2566919387281423E-2</v>
      </c>
      <c r="H40" s="43"/>
      <c r="I40" s="43"/>
      <c r="J40" s="43"/>
      <c r="K40" s="43"/>
      <c r="L40" s="43"/>
      <c r="M40" s="43"/>
      <c r="N40" s="43"/>
      <c r="O40" s="43"/>
    </row>
    <row r="41" spans="1:15" x14ac:dyDescent="0.3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</row>
    <row r="42" spans="1:15" x14ac:dyDescent="0.3">
      <c r="A42" t="s">
        <v>313</v>
      </c>
      <c r="C42" s="57">
        <v>64.44</v>
      </c>
      <c r="D42" s="57">
        <v>67.459999999999994</v>
      </c>
      <c r="E42" s="57">
        <v>77.95</v>
      </c>
      <c r="F42" s="57">
        <v>77.41</v>
      </c>
      <c r="G42" s="57">
        <v>82.73</v>
      </c>
      <c r="H42" s="32">
        <f>H21-H39</f>
        <v>74.005287455463673</v>
      </c>
      <c r="I42" s="32">
        <f>I21-I39</f>
        <v>77.203950002914496</v>
      </c>
      <c r="J42" s="32">
        <f>J21-J39</f>
        <v>80.323600214324429</v>
      </c>
      <c r="K42" s="32">
        <f>K21-K39</f>
        <v>83.340928449353626</v>
      </c>
      <c r="L42" s="32">
        <f>L21-L39</f>
        <v>84.254983766617983</v>
      </c>
      <c r="M42" s="32">
        <f>AVERAGE(D43:G43)</f>
        <v>6.6040577410436396E-2</v>
      </c>
    </row>
    <row r="43" spans="1:15" x14ac:dyDescent="0.3">
      <c r="A43" t="s">
        <v>429</v>
      </c>
      <c r="D43" s="32">
        <f>(D42-C42)/C42</f>
        <v>4.6865301055245126E-2</v>
      </c>
      <c r="E43" s="32">
        <f t="shared" ref="E43" si="53">(E42-D42)/D42</f>
        <v>0.15549955529202505</v>
      </c>
      <c r="F43" s="32">
        <f t="shared" ref="F43" si="54">(F42-E42)/E42</f>
        <v>-6.9275176395125881E-3</v>
      </c>
      <c r="G43" s="32">
        <f t="shared" ref="G43" si="55">(G42-F42)/F42</f>
        <v>6.8724970933987953E-2</v>
      </c>
      <c r="I43" s="32">
        <f>(I42-H42)/I42</f>
        <v>4.1431332818205178E-2</v>
      </c>
      <c r="J43" s="32">
        <f t="shared" ref="J43:L43" si="56">(J42-I42)/J42</f>
        <v>3.8838525702108571E-2</v>
      </c>
      <c r="K43" s="32">
        <f t="shared" si="56"/>
        <v>3.6204639079139019E-2</v>
      </c>
      <c r="L43" s="32">
        <f t="shared" si="56"/>
        <v>1.0848679524955379E-2</v>
      </c>
    </row>
    <row r="44" spans="1:15" x14ac:dyDescent="0.3">
      <c r="A44" s="43" t="s">
        <v>430</v>
      </c>
    </row>
    <row r="45" spans="1:15" x14ac:dyDescent="0.3">
      <c r="A45" s="43" t="s">
        <v>362</v>
      </c>
      <c r="B45" s="43"/>
      <c r="C45" s="43"/>
      <c r="D45" s="43"/>
      <c r="E45" s="43"/>
      <c r="F45" s="43"/>
      <c r="G45" s="43"/>
      <c r="H45" s="43"/>
      <c r="J45" t="s">
        <v>427</v>
      </c>
    </row>
    <row r="46" spans="1:15" x14ac:dyDescent="0.3">
      <c r="A46" t="s">
        <v>363</v>
      </c>
      <c r="C46">
        <v>17.875</v>
      </c>
      <c r="D46">
        <v>28.137</v>
      </c>
      <c r="E46">
        <v>14.199</v>
      </c>
      <c r="F46">
        <v>11.525</v>
      </c>
      <c r="G46" s="33">
        <v>18.274000000000001</v>
      </c>
      <c r="H46" t="s">
        <v>365</v>
      </c>
    </row>
    <row r="47" spans="1:15" x14ac:dyDescent="0.3">
      <c r="B47" t="s">
        <v>364</v>
      </c>
      <c r="C47" s="32">
        <f>C46/C2</f>
        <v>1.1798679867986799</v>
      </c>
      <c r="D47" s="32">
        <f>D46/D2</f>
        <v>1.6580436063641721</v>
      </c>
      <c r="E47" s="32">
        <f>E46/E2</f>
        <v>0.67421652421652423</v>
      </c>
      <c r="F47" s="32">
        <f>F46/F2</f>
        <v>0.88179035960214236</v>
      </c>
      <c r="G47" s="32">
        <f>G46/G2</f>
        <v>1.1573147561747943</v>
      </c>
      <c r="H47" s="32">
        <f>AVERAGE(C47:G47)</f>
        <v>1.1102466466312626</v>
      </c>
    </row>
    <row r="48" spans="1:15" x14ac:dyDescent="0.3">
      <c r="A48" t="s">
        <v>376</v>
      </c>
      <c r="C48">
        <v>2.6499999999999999E-2</v>
      </c>
      <c r="D48">
        <v>3.4000000000000002E-2</v>
      </c>
      <c r="E48">
        <v>4.7199999999999999E-2</v>
      </c>
      <c r="F48">
        <v>3.6499999999999998E-2</v>
      </c>
      <c r="G48">
        <v>3.78E-2</v>
      </c>
      <c r="H48">
        <f>AVERAGE(C48:G48)</f>
        <v>3.6400000000000002E-2</v>
      </c>
      <c r="I48" s="6">
        <v>3.6400000000000002E-2</v>
      </c>
    </row>
    <row r="49" spans="1:9" x14ac:dyDescent="0.3">
      <c r="A49" t="s">
        <v>377</v>
      </c>
      <c r="C49">
        <v>602</v>
      </c>
      <c r="D49">
        <v>1392</v>
      </c>
      <c r="E49">
        <v>248</v>
      </c>
      <c r="F49">
        <v>816</v>
      </c>
      <c r="G49">
        <v>792</v>
      </c>
      <c r="H49">
        <f>SUM(C49:G49)</f>
        <v>3850</v>
      </c>
      <c r="I49" t="s">
        <v>373</v>
      </c>
    </row>
    <row r="51" spans="1:9" x14ac:dyDescent="0.3">
      <c r="H51" t="s">
        <v>374</v>
      </c>
    </row>
    <row r="52" spans="1:9" x14ac:dyDescent="0.3">
      <c r="H52" s="60">
        <f>3.85*H48</f>
        <v>0.14014000000000001</v>
      </c>
    </row>
    <row r="53" spans="1:9" x14ac:dyDescent="0.3">
      <c r="H53" t="s">
        <v>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A8C5-E190-49D4-8628-78C3F6B13DE4}">
  <dimension ref="B1:V328"/>
  <sheetViews>
    <sheetView topLeftCell="C1" workbookViewId="0">
      <selection activeCell="R7" sqref="R7"/>
    </sheetView>
  </sheetViews>
  <sheetFormatPr defaultRowHeight="14.4" x14ac:dyDescent="0.3"/>
  <cols>
    <col min="2" max="2" width="13.33203125" bestFit="1" customWidth="1"/>
    <col min="3" max="3" width="15.44140625" style="12" bestFit="1" customWidth="1"/>
    <col min="9" max="9" width="12.5546875" style="12" bestFit="1" customWidth="1"/>
  </cols>
  <sheetData>
    <row r="1" spans="2:21" x14ac:dyDescent="0.3">
      <c r="B1" s="1" t="s">
        <v>0</v>
      </c>
      <c r="C1" s="8" t="s">
        <v>1</v>
      </c>
      <c r="D1" s="3"/>
      <c r="E1" s="2" t="s">
        <v>2</v>
      </c>
      <c r="H1" s="2" t="s">
        <v>247</v>
      </c>
      <c r="I1" s="8" t="s">
        <v>1</v>
      </c>
      <c r="J1" s="3"/>
      <c r="K1" s="2" t="s">
        <v>219</v>
      </c>
      <c r="L1" s="3"/>
      <c r="M1" s="3"/>
      <c r="N1" s="3"/>
      <c r="O1" s="3"/>
      <c r="P1" s="3"/>
      <c r="Q1" s="3"/>
      <c r="R1" s="3"/>
      <c r="S1" s="3"/>
      <c r="T1" s="3"/>
      <c r="U1" s="3"/>
    </row>
    <row r="2" spans="2:21" x14ac:dyDescent="0.3">
      <c r="B2" s="3"/>
      <c r="C2" s="9" t="s">
        <v>3</v>
      </c>
      <c r="D2" s="4" t="s">
        <v>4</v>
      </c>
      <c r="E2" s="4" t="s">
        <v>4</v>
      </c>
      <c r="H2" s="3"/>
      <c r="I2" s="9" t="s">
        <v>3</v>
      </c>
      <c r="J2" s="4" t="s">
        <v>4</v>
      </c>
      <c r="K2" s="4" t="s">
        <v>4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2:21" x14ac:dyDescent="0.3">
      <c r="B3" s="3"/>
      <c r="C3" s="10" t="s">
        <v>5</v>
      </c>
      <c r="D3" s="5"/>
      <c r="E3" s="5"/>
      <c r="H3" s="3"/>
      <c r="I3" s="10" t="s">
        <v>5</v>
      </c>
      <c r="J3" s="5"/>
      <c r="K3" s="5"/>
      <c r="L3" s="3"/>
      <c r="M3" s="3"/>
      <c r="N3" s="3"/>
      <c r="O3" s="3"/>
      <c r="P3" s="3"/>
      <c r="Q3" s="3"/>
      <c r="R3" s="3"/>
      <c r="S3" s="3" t="s">
        <v>356</v>
      </c>
      <c r="T3" s="3"/>
      <c r="U3" s="3"/>
    </row>
    <row r="4" spans="2:21" x14ac:dyDescent="0.3">
      <c r="B4" s="3"/>
      <c r="C4" s="10" t="s">
        <v>6</v>
      </c>
      <c r="D4" s="7">
        <v>-3.3869999999999997E-2</v>
      </c>
      <c r="E4" s="7">
        <v>-2.717E-2</v>
      </c>
      <c r="H4" s="3"/>
      <c r="I4" s="10" t="s">
        <v>6</v>
      </c>
      <c r="J4" s="7">
        <v>-1.26E-2</v>
      </c>
      <c r="K4" s="7">
        <v>-1.8800000000000001E-2</v>
      </c>
      <c r="L4" s="3"/>
      <c r="M4" s="3" t="s">
        <v>220</v>
      </c>
      <c r="N4" s="3"/>
      <c r="O4" s="3" t="s">
        <v>248</v>
      </c>
      <c r="P4" s="3" t="s">
        <v>249</v>
      </c>
      <c r="Q4" s="3"/>
      <c r="R4" s="3"/>
      <c r="S4" s="22">
        <f>AVERAGE(N21,O285)</f>
        <v>0.59689216450000004</v>
      </c>
      <c r="T4" s="3"/>
      <c r="U4" s="3"/>
    </row>
    <row r="5" spans="2:21" ht="15" thickBot="1" x14ac:dyDescent="0.35">
      <c r="B5" s="3"/>
      <c r="C5" s="10" t="s">
        <v>7</v>
      </c>
      <c r="D5" s="7">
        <v>3.31E-3</v>
      </c>
      <c r="E5" s="7">
        <v>1.8360000000000001E-2</v>
      </c>
      <c r="H5" s="3"/>
      <c r="I5" s="10" t="s">
        <v>7</v>
      </c>
      <c r="J5" s="7">
        <v>-2.01E-2</v>
      </c>
      <c r="K5" s="7">
        <v>-3.0999999999999999E-3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2:21" x14ac:dyDescent="0.3">
      <c r="B6" s="3"/>
      <c r="C6" s="10" t="s">
        <v>8</v>
      </c>
      <c r="D6" s="7">
        <v>3.0349999999999999E-2</v>
      </c>
      <c r="E6" s="7">
        <v>1.243E-2</v>
      </c>
      <c r="H6" s="3"/>
      <c r="I6" s="10" t="s">
        <v>8</v>
      </c>
      <c r="J6" s="7">
        <v>5.7299999999999997E-2</v>
      </c>
      <c r="K6" s="7">
        <v>1.5800000000000002E-2</v>
      </c>
      <c r="L6" s="3"/>
      <c r="M6" s="86" t="s">
        <v>223</v>
      </c>
      <c r="N6" s="86"/>
      <c r="O6" s="3"/>
      <c r="P6" s="3"/>
      <c r="Q6" s="3"/>
      <c r="R6" s="3"/>
      <c r="S6" s="3"/>
      <c r="T6" s="3"/>
      <c r="U6" s="3"/>
    </row>
    <row r="7" spans="2:21" x14ac:dyDescent="0.3">
      <c r="B7" s="3"/>
      <c r="C7" s="10" t="s">
        <v>9</v>
      </c>
      <c r="D7" s="7">
        <v>3.1859999999999999E-2</v>
      </c>
      <c r="E7" s="7">
        <v>6.5300000000000002E-3</v>
      </c>
      <c r="H7" s="3"/>
      <c r="I7" s="10" t="s">
        <v>9</v>
      </c>
      <c r="J7" s="7">
        <v>2.1100000000000001E-2</v>
      </c>
      <c r="K7" s="7">
        <v>1.04E-2</v>
      </c>
      <c r="L7" s="3"/>
      <c r="M7" s="3" t="s">
        <v>224</v>
      </c>
      <c r="N7" s="3">
        <v>0.447396405</v>
      </c>
      <c r="O7" s="3"/>
      <c r="P7" s="3"/>
      <c r="Q7" s="3"/>
      <c r="R7" s="3"/>
      <c r="S7" s="3"/>
      <c r="T7" s="3"/>
      <c r="U7" s="3"/>
    </row>
    <row r="8" spans="2:21" x14ac:dyDescent="0.3">
      <c r="B8" s="3"/>
      <c r="C8" s="10" t="s">
        <v>10</v>
      </c>
      <c r="D8" s="7">
        <v>3.2309999999999998E-2</v>
      </c>
      <c r="E8" s="7">
        <v>3.29E-3</v>
      </c>
      <c r="H8" s="3"/>
      <c r="I8" s="10" t="s">
        <v>10</v>
      </c>
      <c r="J8" s="7">
        <v>4.4499999999999998E-2</v>
      </c>
      <c r="K8" s="7">
        <v>1.17E-2</v>
      </c>
      <c r="L8" s="3"/>
      <c r="M8" s="3" t="s">
        <v>225</v>
      </c>
      <c r="N8" s="3">
        <v>0.200163543</v>
      </c>
      <c r="O8" s="3"/>
      <c r="P8" s="3"/>
      <c r="Q8" s="3"/>
      <c r="R8" s="3"/>
      <c r="S8" s="3"/>
      <c r="T8" s="3"/>
      <c r="U8" s="3"/>
    </row>
    <row r="9" spans="2:21" x14ac:dyDescent="0.3">
      <c r="B9" s="3"/>
      <c r="C9" s="10" t="s">
        <v>11</v>
      </c>
      <c r="D9" s="7">
        <v>-9.11E-3</v>
      </c>
      <c r="E9" s="7">
        <v>9.2399999999999999E-3</v>
      </c>
      <c r="H9" s="3"/>
      <c r="I9" s="10" t="s">
        <v>11</v>
      </c>
      <c r="J9" s="7">
        <v>-4.3499999999999997E-2</v>
      </c>
      <c r="K9" s="7">
        <v>-3.0999999999999999E-3</v>
      </c>
      <c r="L9" s="3"/>
      <c r="M9" s="3" t="s">
        <v>226</v>
      </c>
      <c r="N9" s="3">
        <v>0.197075371</v>
      </c>
      <c r="O9" s="3"/>
      <c r="P9" s="3"/>
      <c r="Q9" s="3"/>
      <c r="R9" s="3"/>
      <c r="S9" s="3"/>
      <c r="T9" s="3"/>
      <c r="U9" s="3"/>
    </row>
    <row r="10" spans="2:21" x14ac:dyDescent="0.3">
      <c r="B10" s="3"/>
      <c r="C10" s="10" t="s">
        <v>12</v>
      </c>
      <c r="D10" s="7">
        <v>-9.0900000000000009E-3</v>
      </c>
      <c r="E10" s="7">
        <v>-2.1800000000000001E-3</v>
      </c>
      <c r="H10" s="3"/>
      <c r="I10" s="10" t="s">
        <v>12</v>
      </c>
      <c r="J10" s="7">
        <v>3.8999999999999998E-3</v>
      </c>
      <c r="K10" s="7">
        <v>1.11E-2</v>
      </c>
      <c r="L10" s="3"/>
      <c r="M10" s="3" t="s">
        <v>227</v>
      </c>
      <c r="N10" s="3">
        <v>3.2341725000000002E-2</v>
      </c>
      <c r="O10" s="3"/>
      <c r="P10" s="3"/>
      <c r="Q10" s="3"/>
      <c r="R10" s="3"/>
      <c r="S10" s="3"/>
      <c r="T10" s="3"/>
      <c r="U10" s="3"/>
    </row>
    <row r="11" spans="2:21" ht="15" thickBot="1" x14ac:dyDescent="0.35">
      <c r="B11" s="3"/>
      <c r="C11" s="10" t="s">
        <v>13</v>
      </c>
      <c r="D11" s="7">
        <v>-4.3119999999999999E-2</v>
      </c>
      <c r="E11" s="7">
        <v>-2.963E-2</v>
      </c>
      <c r="H11" s="3"/>
      <c r="I11" s="10" t="s">
        <v>13</v>
      </c>
      <c r="J11" s="7">
        <v>-5.04E-2</v>
      </c>
      <c r="K11" s="7">
        <v>-3.6499999999999998E-2</v>
      </c>
      <c r="L11" s="3"/>
      <c r="M11" s="13" t="s">
        <v>228</v>
      </c>
      <c r="N11" s="13">
        <v>261</v>
      </c>
      <c r="O11" s="3"/>
      <c r="P11" s="3"/>
      <c r="Q11" s="3"/>
      <c r="R11" s="3"/>
      <c r="S11" s="3"/>
      <c r="T11" s="3"/>
      <c r="U11" s="3"/>
    </row>
    <row r="12" spans="2:21" x14ac:dyDescent="0.3">
      <c r="B12" s="3"/>
      <c r="C12" s="10" t="s">
        <v>14</v>
      </c>
      <c r="D12" s="7">
        <v>2.647E-2</v>
      </c>
      <c r="E12" s="7">
        <v>1.376E-2</v>
      </c>
      <c r="H12" s="3"/>
      <c r="I12" s="10" t="s">
        <v>14</v>
      </c>
      <c r="J12" s="7">
        <v>4.3099999999999999E-2</v>
      </c>
      <c r="K12" s="7">
        <v>1.2800000000000001E-2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2:21" ht="15" thickBot="1" x14ac:dyDescent="0.35">
      <c r="B13" s="3"/>
      <c r="C13" s="10" t="s">
        <v>15</v>
      </c>
      <c r="D13" s="7">
        <v>-2.334E-2</v>
      </c>
      <c r="E13" s="7">
        <v>6.4900000000000001E-3</v>
      </c>
      <c r="H13" s="3"/>
      <c r="I13" s="10" t="s">
        <v>15</v>
      </c>
      <c r="J13" s="7">
        <v>-5.8900000000000001E-2</v>
      </c>
      <c r="K13" s="7">
        <v>-1.3299999999999999E-2</v>
      </c>
      <c r="L13" s="3"/>
      <c r="M13" s="3" t="s">
        <v>229</v>
      </c>
      <c r="N13" s="3"/>
      <c r="O13" s="3"/>
      <c r="P13" s="3"/>
      <c r="Q13" s="3"/>
      <c r="R13" s="3"/>
      <c r="S13" s="3"/>
      <c r="T13" s="3"/>
      <c r="U13" s="3"/>
    </row>
    <row r="14" spans="2:21" x14ac:dyDescent="0.3">
      <c r="B14" s="3"/>
      <c r="C14" s="10" t="s">
        <v>16</v>
      </c>
      <c r="D14" s="7">
        <v>3.3459999999999997E-2</v>
      </c>
      <c r="E14" s="7">
        <v>1.346E-2</v>
      </c>
      <c r="H14" s="3"/>
      <c r="I14" s="10" t="s">
        <v>16</v>
      </c>
      <c r="J14" s="7">
        <v>3.95E-2</v>
      </c>
      <c r="K14" s="7">
        <v>2.4299999999999999E-2</v>
      </c>
      <c r="L14" s="3"/>
      <c r="M14" s="14"/>
      <c r="N14" s="14" t="s">
        <v>230</v>
      </c>
      <c r="O14" s="14" t="s">
        <v>231</v>
      </c>
      <c r="P14" s="14" t="s">
        <v>232</v>
      </c>
      <c r="Q14" s="14" t="s">
        <v>233</v>
      </c>
      <c r="R14" s="14" t="s">
        <v>234</v>
      </c>
      <c r="S14" s="3"/>
      <c r="T14" s="3"/>
      <c r="U14" s="3"/>
    </row>
    <row r="15" spans="2:21" x14ac:dyDescent="0.3">
      <c r="B15" s="3"/>
      <c r="C15" s="11">
        <v>43770</v>
      </c>
      <c r="D15" s="7">
        <v>-3.5200000000000001E-3</v>
      </c>
      <c r="E15" s="7">
        <v>-1.04E-2</v>
      </c>
      <c r="H15" s="3"/>
      <c r="I15" s="11">
        <v>43770</v>
      </c>
      <c r="J15" s="7">
        <v>1.21E-2</v>
      </c>
      <c r="K15" s="7">
        <v>-3.0000000000000001E-3</v>
      </c>
      <c r="L15" s="3"/>
      <c r="M15" s="3" t="s">
        <v>235</v>
      </c>
      <c r="N15" s="3">
        <v>1</v>
      </c>
      <c r="O15" s="3">
        <v>6.7796910000000002E-2</v>
      </c>
      <c r="P15" s="3">
        <v>6.7796910000000002E-2</v>
      </c>
      <c r="Q15" s="3">
        <v>64.816197279999997</v>
      </c>
      <c r="R15" s="18">
        <v>2.9951599999999997E-14</v>
      </c>
      <c r="S15" s="3"/>
      <c r="T15" s="3"/>
      <c r="U15" s="3"/>
    </row>
    <row r="16" spans="2:21" x14ac:dyDescent="0.3">
      <c r="B16" s="3"/>
      <c r="C16" s="11">
        <v>43777</v>
      </c>
      <c r="D16" s="7">
        <v>5.2380000000000003E-2</v>
      </c>
      <c r="E16" s="7">
        <v>8.2500000000000004E-3</v>
      </c>
      <c r="H16" s="3"/>
      <c r="I16" s="11">
        <v>43777</v>
      </c>
      <c r="J16" s="7">
        <v>9.1000000000000004E-3</v>
      </c>
      <c r="K16" s="7">
        <v>7.7999999999999996E-3</v>
      </c>
      <c r="L16" s="3"/>
      <c r="M16" s="3" t="s">
        <v>236</v>
      </c>
      <c r="N16" s="3">
        <v>259</v>
      </c>
      <c r="O16" s="3">
        <v>0.27091067499999999</v>
      </c>
      <c r="P16" s="3">
        <v>1.045987E-3</v>
      </c>
      <c r="Q16" s="3"/>
      <c r="R16" s="3"/>
      <c r="S16" s="3"/>
      <c r="T16" s="3"/>
      <c r="U16" s="3"/>
    </row>
    <row r="17" spans="2:21" ht="15" thickBot="1" x14ac:dyDescent="0.35">
      <c r="B17" s="3"/>
      <c r="C17" s="11">
        <v>43784</v>
      </c>
      <c r="D17" s="7">
        <v>-1.7749999999999998E-2</v>
      </c>
      <c r="E17" s="7">
        <v>1.035E-2</v>
      </c>
      <c r="H17" s="3"/>
      <c r="I17" s="11">
        <v>43784</v>
      </c>
      <c r="J17" s="7">
        <v>-1.2200000000000001E-2</v>
      </c>
      <c r="K17" s="7">
        <v>-7.7000000000000002E-3</v>
      </c>
      <c r="L17" s="3"/>
      <c r="M17" s="13" t="s">
        <v>237</v>
      </c>
      <c r="N17" s="13">
        <v>260</v>
      </c>
      <c r="O17" s="13">
        <v>0.33870758499999998</v>
      </c>
      <c r="P17" s="13"/>
      <c r="Q17" s="13"/>
      <c r="R17" s="13"/>
      <c r="S17" s="3"/>
      <c r="T17" s="3"/>
      <c r="U17" s="3"/>
    </row>
    <row r="18" spans="2:21" ht="15" thickBot="1" x14ac:dyDescent="0.35">
      <c r="B18" s="3"/>
      <c r="C18" s="11">
        <v>43791</v>
      </c>
      <c r="D18" s="7">
        <v>5.45E-3</v>
      </c>
      <c r="E18" s="7">
        <v>-1.235E-2</v>
      </c>
      <c r="H18" s="3"/>
      <c r="I18" s="11">
        <v>43791</v>
      </c>
      <c r="J18" s="7">
        <v>7.1999999999999998E-3</v>
      </c>
      <c r="K18" s="7">
        <v>3.3E-3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2:21" x14ac:dyDescent="0.3">
      <c r="B19" s="3"/>
      <c r="C19" s="11">
        <v>43798</v>
      </c>
      <c r="D19" s="7">
        <v>3.0300000000000001E-2</v>
      </c>
      <c r="E19" s="7">
        <v>2.0299999999999999E-2</v>
      </c>
      <c r="H19" s="3"/>
      <c r="I19" s="11">
        <v>43798</v>
      </c>
      <c r="J19" s="7">
        <v>4.1000000000000003E-3</v>
      </c>
      <c r="K19" s="7">
        <v>2.7000000000000001E-3</v>
      </c>
      <c r="L19" s="3"/>
      <c r="M19" s="14"/>
      <c r="N19" s="14" t="s">
        <v>238</v>
      </c>
      <c r="O19" s="14" t="s">
        <v>227</v>
      </c>
      <c r="P19" s="14" t="s">
        <v>239</v>
      </c>
      <c r="Q19" s="14" t="s">
        <v>240</v>
      </c>
      <c r="R19" s="14" t="s">
        <v>241</v>
      </c>
      <c r="S19" s="14" t="s">
        <v>242</v>
      </c>
      <c r="T19" s="14" t="s">
        <v>243</v>
      </c>
      <c r="U19" s="14" t="s">
        <v>244</v>
      </c>
    </row>
    <row r="20" spans="2:21" x14ac:dyDescent="0.3">
      <c r="B20" s="3"/>
      <c r="C20" s="10" t="s">
        <v>17</v>
      </c>
      <c r="D20" s="7">
        <v>-1.146E-2</v>
      </c>
      <c r="E20" s="7">
        <v>-2.0299999999999999E-2</v>
      </c>
      <c r="H20" s="3"/>
      <c r="I20" s="10" t="s">
        <v>17</v>
      </c>
      <c r="J20" s="7">
        <v>3.5999999999999999E-3</v>
      </c>
      <c r="K20" s="7">
        <v>-1.4500000000000001E-2</v>
      </c>
      <c r="L20" s="3"/>
      <c r="M20" s="3" t="s">
        <v>245</v>
      </c>
      <c r="N20" s="3">
        <v>1.2996749999999999E-3</v>
      </c>
      <c r="O20" s="3">
        <v>2.0034250000000001E-3</v>
      </c>
      <c r="P20" s="3">
        <v>0.64872652500000005</v>
      </c>
      <c r="Q20" s="3">
        <v>0.51708993700000006</v>
      </c>
      <c r="R20" s="3">
        <v>-2.6454009999999999E-3</v>
      </c>
      <c r="S20" s="3">
        <v>5.2447500000000003E-3</v>
      </c>
      <c r="T20" s="3">
        <v>-2.6454009999999999E-3</v>
      </c>
      <c r="U20" s="3">
        <v>5.2447500000000003E-3</v>
      </c>
    </row>
    <row r="21" spans="2:21" ht="15" thickBot="1" x14ac:dyDescent="0.35">
      <c r="B21" s="3"/>
      <c r="C21" s="10" t="s">
        <v>18</v>
      </c>
      <c r="D21" s="7">
        <v>5.0209999999999998E-2</v>
      </c>
      <c r="E21" s="7">
        <v>4.8799999999999998E-3</v>
      </c>
      <c r="H21" s="3"/>
      <c r="I21" s="10" t="s">
        <v>18</v>
      </c>
      <c r="J21" s="7">
        <v>2.47E-2</v>
      </c>
      <c r="K21" s="7">
        <v>1.5699999999999999E-2</v>
      </c>
      <c r="L21" s="3"/>
      <c r="M21" s="13" t="s">
        <v>246</v>
      </c>
      <c r="N21" s="19">
        <v>0.73916095800000003</v>
      </c>
      <c r="O21" s="13">
        <v>9.1811534E-2</v>
      </c>
      <c r="P21" s="13">
        <v>8.0508507179999995</v>
      </c>
      <c r="Q21" s="20">
        <v>2.9951599999999997E-14</v>
      </c>
      <c r="R21" s="13">
        <v>0.55836884600000003</v>
      </c>
      <c r="S21" s="13">
        <v>0.91995306899999996</v>
      </c>
      <c r="T21" s="13">
        <v>0.55836884600000003</v>
      </c>
      <c r="U21" s="13">
        <v>0.91995306899999996</v>
      </c>
    </row>
    <row r="22" spans="2:21" x14ac:dyDescent="0.3">
      <c r="B22" s="3"/>
      <c r="C22" s="10" t="s">
        <v>19</v>
      </c>
      <c r="D22" s="7">
        <v>3.0419999999999999E-2</v>
      </c>
      <c r="E22" s="7">
        <v>1.137E-2</v>
      </c>
      <c r="H22" s="3"/>
      <c r="I22" s="10" t="s">
        <v>19</v>
      </c>
      <c r="J22" s="7">
        <v>4.9200000000000001E-2</v>
      </c>
      <c r="K22" s="7">
        <v>3.1099999999999999E-2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2:21" x14ac:dyDescent="0.3">
      <c r="B23" s="3"/>
      <c r="C23" s="10" t="s">
        <v>20</v>
      </c>
      <c r="D23" s="7">
        <v>-1.1089999999999999E-2</v>
      </c>
      <c r="E23" s="7">
        <v>7.9000000000000001E-4</v>
      </c>
      <c r="H23" s="3"/>
      <c r="I23" s="10" t="s">
        <v>20</v>
      </c>
      <c r="J23" s="7">
        <v>3.3999999999999998E-3</v>
      </c>
      <c r="K23" s="7">
        <v>8.2000000000000007E-3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2:21" x14ac:dyDescent="0.3">
      <c r="B24" s="3"/>
      <c r="C24" s="10" t="s">
        <v>21</v>
      </c>
      <c r="D24" s="7">
        <v>-1.1220000000000001E-2</v>
      </c>
      <c r="E24" s="7">
        <v>-1.2930000000000001E-2</v>
      </c>
      <c r="H24" s="3"/>
      <c r="I24" s="10" t="s">
        <v>21</v>
      </c>
      <c r="J24" s="7">
        <v>-9.7999999999999997E-3</v>
      </c>
      <c r="K24" s="7">
        <v>-2.8999999999999998E-3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2:21" x14ac:dyDescent="0.3">
      <c r="B25" s="3"/>
      <c r="C25" s="10" t="s">
        <v>22</v>
      </c>
      <c r="D25" s="7">
        <v>1.056E-2</v>
      </c>
      <c r="E25" s="7">
        <v>2.903E-2</v>
      </c>
      <c r="H25" s="3"/>
      <c r="I25" s="10" t="s">
        <v>22</v>
      </c>
      <c r="J25" s="7">
        <v>-3.5999999999999999E-3</v>
      </c>
      <c r="K25" s="7">
        <v>-4.4999999999999997E-3</v>
      </c>
      <c r="L25" s="3"/>
      <c r="M25" s="3" t="s">
        <v>220</v>
      </c>
      <c r="N25" s="3"/>
      <c r="O25" s="3" t="s">
        <v>250</v>
      </c>
      <c r="P25" s="3" t="s">
        <v>249</v>
      </c>
      <c r="Q25" s="3"/>
      <c r="R25" s="3"/>
      <c r="S25" s="3"/>
      <c r="T25" s="3"/>
      <c r="U25" s="3"/>
    </row>
    <row r="26" spans="2:21" ht="15" thickBot="1" x14ac:dyDescent="0.35">
      <c r="B26" s="3"/>
      <c r="C26" s="10" t="s">
        <v>23</v>
      </c>
      <c r="D26" s="7">
        <v>2.743E-2</v>
      </c>
      <c r="E26" s="7">
        <v>1.95E-2</v>
      </c>
      <c r="H26" s="3"/>
      <c r="I26" s="10" t="s">
        <v>23</v>
      </c>
      <c r="J26" s="7">
        <v>3.6299999999999999E-2</v>
      </c>
      <c r="K26" s="7">
        <v>1.14E-2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2:21" x14ac:dyDescent="0.3">
      <c r="B27" s="3"/>
      <c r="C27" s="10" t="s">
        <v>24</v>
      </c>
      <c r="D27" s="7">
        <v>-1.9570000000000001E-2</v>
      </c>
      <c r="E27" s="7">
        <v>3.7399999999999998E-3</v>
      </c>
      <c r="H27" s="3"/>
      <c r="I27" s="10" t="s">
        <v>24</v>
      </c>
      <c r="J27" s="7">
        <v>-4.5699999999999998E-2</v>
      </c>
      <c r="K27" s="7">
        <v>-1.15E-2</v>
      </c>
      <c r="L27" s="3"/>
      <c r="M27" s="86" t="s">
        <v>223</v>
      </c>
      <c r="N27" s="86"/>
      <c r="O27" s="3"/>
      <c r="P27" s="3"/>
      <c r="Q27" s="3"/>
      <c r="R27" s="3"/>
      <c r="S27" s="3"/>
      <c r="T27" s="3"/>
      <c r="U27" s="3"/>
    </row>
    <row r="28" spans="2:21" x14ac:dyDescent="0.3">
      <c r="B28" s="3"/>
      <c r="C28" s="10" t="s">
        <v>25</v>
      </c>
      <c r="D28" s="7">
        <v>-4.274E-2</v>
      </c>
      <c r="E28" s="7">
        <v>-1.034E-2</v>
      </c>
      <c r="H28" s="3"/>
      <c r="I28" s="10" t="s">
        <v>25</v>
      </c>
      <c r="J28" s="7">
        <v>-7.9899999999999999E-2</v>
      </c>
      <c r="K28" s="7">
        <v>-3.95E-2</v>
      </c>
      <c r="L28" s="3"/>
      <c r="M28" s="3" t="s">
        <v>224</v>
      </c>
      <c r="N28" s="3">
        <v>0.56509468600000001</v>
      </c>
      <c r="O28" s="3"/>
      <c r="P28" s="3"/>
      <c r="Q28" s="3"/>
      <c r="R28" s="3"/>
      <c r="S28" s="3"/>
      <c r="T28" s="3"/>
      <c r="U28" s="3"/>
    </row>
    <row r="29" spans="2:21" x14ac:dyDescent="0.3">
      <c r="B29" s="3"/>
      <c r="C29" s="11">
        <v>43868</v>
      </c>
      <c r="D29" s="7">
        <v>-3.4399999999999999E-3</v>
      </c>
      <c r="E29" s="7">
        <v>7.6999999999999996E-4</v>
      </c>
      <c r="H29" s="3"/>
      <c r="I29" s="11">
        <v>43868</v>
      </c>
      <c r="J29" s="7">
        <v>2.52E-2</v>
      </c>
      <c r="K29" s="7">
        <v>2.4799999999999999E-2</v>
      </c>
      <c r="L29" s="3"/>
      <c r="M29" s="3" t="s">
        <v>225</v>
      </c>
      <c r="N29" s="3">
        <v>0.319332004</v>
      </c>
      <c r="O29" s="3"/>
      <c r="P29" s="3"/>
      <c r="Q29" s="3"/>
      <c r="R29" s="3"/>
      <c r="S29" s="3"/>
      <c r="T29" s="3"/>
      <c r="U29" s="3"/>
    </row>
    <row r="30" spans="2:21" x14ac:dyDescent="0.3">
      <c r="B30" s="3"/>
      <c r="C30" s="11">
        <v>43875</v>
      </c>
      <c r="D30" s="7">
        <v>-7.92E-3</v>
      </c>
      <c r="E30" s="7">
        <v>1.532E-2</v>
      </c>
      <c r="H30" s="3"/>
      <c r="I30" s="11">
        <v>43875</v>
      </c>
      <c r="J30" s="7">
        <v>2.3999999999999998E-3</v>
      </c>
      <c r="K30" s="7">
        <v>-7.7000000000000002E-3</v>
      </c>
      <c r="L30" s="3"/>
      <c r="M30" s="3" t="s">
        <v>226</v>
      </c>
      <c r="N30" s="3">
        <v>0.31670394299999999</v>
      </c>
      <c r="O30" s="3"/>
      <c r="P30" s="3"/>
      <c r="Q30" s="3"/>
      <c r="R30" s="3"/>
      <c r="S30" s="3"/>
      <c r="T30" s="3"/>
      <c r="U30" s="3"/>
    </row>
    <row r="31" spans="2:21" x14ac:dyDescent="0.3">
      <c r="B31" s="3"/>
      <c r="C31" s="11">
        <v>43882</v>
      </c>
      <c r="D31" s="7">
        <v>4.0999999999999999E-4</v>
      </c>
      <c r="E31" s="7">
        <v>1.23E-3</v>
      </c>
      <c r="H31" s="3"/>
      <c r="I31" s="11">
        <v>43882</v>
      </c>
      <c r="J31" s="7">
        <v>1.2999999999999999E-3</v>
      </c>
      <c r="K31" s="7">
        <v>-6.9999999999999999E-4</v>
      </c>
      <c r="L31" s="3"/>
      <c r="M31" s="3" t="s">
        <v>227</v>
      </c>
      <c r="N31" s="3">
        <v>3.3481735999999998E-2</v>
      </c>
      <c r="O31" s="3"/>
      <c r="P31" s="3"/>
      <c r="Q31" s="3"/>
      <c r="R31" s="3"/>
      <c r="S31" s="3"/>
      <c r="T31" s="3"/>
      <c r="U31" s="3"/>
    </row>
    <row r="32" spans="2:21" ht="15" thickBot="1" x14ac:dyDescent="0.35">
      <c r="B32" s="3"/>
      <c r="C32" s="11">
        <v>43889</v>
      </c>
      <c r="D32" s="7">
        <v>-0.10666</v>
      </c>
      <c r="E32" s="7">
        <v>-9.7739999999999994E-2</v>
      </c>
      <c r="H32" s="3"/>
      <c r="I32" s="11">
        <v>43889</v>
      </c>
      <c r="J32" s="7">
        <v>-0.14149999999999999</v>
      </c>
      <c r="K32" s="7">
        <v>-0.11119999999999999</v>
      </c>
      <c r="L32" s="3"/>
      <c r="M32" s="13" t="s">
        <v>228</v>
      </c>
      <c r="N32" s="13">
        <v>261</v>
      </c>
      <c r="O32" s="3"/>
      <c r="P32" s="3"/>
      <c r="Q32" s="3"/>
      <c r="R32" s="3"/>
      <c r="S32" s="3"/>
      <c r="T32" s="3"/>
      <c r="U32" s="3"/>
    </row>
    <row r="33" spans="2:21" x14ac:dyDescent="0.3">
      <c r="B33" s="3"/>
      <c r="C33" s="11">
        <v>43896</v>
      </c>
      <c r="D33" s="7">
        <v>-1.1690000000000001E-2</v>
      </c>
      <c r="E33" s="7">
        <v>-3.4930000000000003E-2</v>
      </c>
      <c r="H33" s="3"/>
      <c r="I33" s="11">
        <v>43896</v>
      </c>
      <c r="J33" s="7">
        <v>-2.8500000000000001E-2</v>
      </c>
      <c r="K33" s="7">
        <v>-1.7899999999999999E-2</v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2:21" ht="15" thickBot="1" x14ac:dyDescent="0.35">
      <c r="B34" s="3"/>
      <c r="C34" s="11">
        <v>43903</v>
      </c>
      <c r="D34" s="7">
        <v>-5.994E-2</v>
      </c>
      <c r="E34" s="7">
        <v>-0.10889</v>
      </c>
      <c r="H34" s="3"/>
      <c r="I34" s="11">
        <v>43903</v>
      </c>
      <c r="J34" s="7">
        <v>-6.59E-2</v>
      </c>
      <c r="K34" s="7">
        <v>-0.16969999999999999</v>
      </c>
      <c r="L34" s="3"/>
      <c r="M34" s="3" t="s">
        <v>229</v>
      </c>
      <c r="N34" s="3"/>
      <c r="O34" s="3"/>
      <c r="P34" s="3"/>
      <c r="Q34" s="3"/>
      <c r="R34" s="3"/>
      <c r="S34" s="3"/>
      <c r="T34" s="3"/>
      <c r="U34" s="3"/>
    </row>
    <row r="35" spans="2:21" x14ac:dyDescent="0.3">
      <c r="B35" s="3"/>
      <c r="C35" s="11">
        <v>43910</v>
      </c>
      <c r="D35" s="7">
        <v>1.1350000000000001E-2</v>
      </c>
      <c r="E35" s="7">
        <v>-0.13047</v>
      </c>
      <c r="H35" s="3"/>
      <c r="I35" s="11">
        <v>43910</v>
      </c>
      <c r="J35" s="7">
        <v>-1.89E-2</v>
      </c>
      <c r="K35" s="7">
        <v>-3.27E-2</v>
      </c>
      <c r="L35" s="3"/>
      <c r="M35" s="14"/>
      <c r="N35" s="14" t="s">
        <v>230</v>
      </c>
      <c r="O35" s="14" t="s">
        <v>231</v>
      </c>
      <c r="P35" s="14" t="s">
        <v>232</v>
      </c>
      <c r="Q35" s="14" t="s">
        <v>233</v>
      </c>
      <c r="R35" s="14" t="s">
        <v>234</v>
      </c>
      <c r="S35" s="3"/>
      <c r="T35" s="3"/>
      <c r="U35" s="3"/>
    </row>
    <row r="36" spans="2:21" x14ac:dyDescent="0.3">
      <c r="B36" s="3"/>
      <c r="C36" s="11">
        <v>43917</v>
      </c>
      <c r="D36" s="7">
        <v>4.6100000000000002E-2</v>
      </c>
      <c r="E36" s="7">
        <v>5.3600000000000002E-3</v>
      </c>
      <c r="H36" s="3"/>
      <c r="I36" s="11">
        <v>43917</v>
      </c>
      <c r="J36" s="7">
        <v>9.8400000000000001E-2</v>
      </c>
      <c r="K36" s="7">
        <v>6.1600000000000002E-2</v>
      </c>
      <c r="L36" s="3"/>
      <c r="M36" s="3" t="s">
        <v>235</v>
      </c>
      <c r="N36" s="3">
        <v>1</v>
      </c>
      <c r="O36" s="3">
        <v>0.13621433299999999</v>
      </c>
      <c r="P36" s="3">
        <v>0.13621433299999999</v>
      </c>
      <c r="Q36" s="3">
        <v>121.5085617</v>
      </c>
      <c r="R36" s="18">
        <v>2.0155699999999999E-23</v>
      </c>
      <c r="S36" s="3"/>
      <c r="T36" s="3"/>
      <c r="U36" s="3"/>
    </row>
    <row r="37" spans="2:21" x14ac:dyDescent="0.3">
      <c r="B37" s="3"/>
      <c r="C37" s="11">
        <v>43924</v>
      </c>
      <c r="D37" s="7">
        <v>3.6720000000000003E-2</v>
      </c>
      <c r="E37" s="7">
        <v>4.6489999999999997E-2</v>
      </c>
      <c r="H37" s="3"/>
      <c r="I37" s="11">
        <v>43924</v>
      </c>
      <c r="J37" s="7">
        <v>6.6000000000000003E-2</v>
      </c>
      <c r="K37" s="7">
        <v>-1.72E-2</v>
      </c>
      <c r="L37" s="3"/>
      <c r="M37" s="3" t="s">
        <v>236</v>
      </c>
      <c r="N37" s="3">
        <v>259</v>
      </c>
      <c r="O37" s="3">
        <v>0.29034589700000002</v>
      </c>
      <c r="P37" s="3">
        <v>1.1210269999999999E-3</v>
      </c>
      <c r="Q37" s="3"/>
      <c r="R37" s="3"/>
      <c r="S37" s="3"/>
      <c r="T37" s="3"/>
      <c r="U37" s="3"/>
    </row>
    <row r="38" spans="2:21" ht="15" thickBot="1" x14ac:dyDescent="0.35">
      <c r="B38" s="3"/>
      <c r="C38" s="11">
        <v>43931</v>
      </c>
      <c r="D38" s="7">
        <v>5.1700000000000001E-3</v>
      </c>
      <c r="E38" s="7">
        <v>6.3109999999999999E-2</v>
      </c>
      <c r="H38" s="3"/>
      <c r="I38" s="11">
        <v>43931</v>
      </c>
      <c r="J38" s="7">
        <v>2.4500000000000001E-2</v>
      </c>
      <c r="K38" s="7">
        <v>7.8899999999999998E-2</v>
      </c>
      <c r="L38" s="3"/>
      <c r="M38" s="13" t="s">
        <v>237</v>
      </c>
      <c r="N38" s="13">
        <v>260</v>
      </c>
      <c r="O38" s="13">
        <v>0.42656022999999998</v>
      </c>
      <c r="P38" s="13"/>
      <c r="Q38" s="13"/>
      <c r="R38" s="13"/>
      <c r="S38" s="3"/>
      <c r="T38" s="3"/>
      <c r="U38" s="3"/>
    </row>
    <row r="39" spans="2:21" ht="15" thickBot="1" x14ac:dyDescent="0.35">
      <c r="B39" s="3"/>
      <c r="C39" s="11">
        <v>43938</v>
      </c>
      <c r="D39" s="7">
        <v>2.3720000000000001E-2</v>
      </c>
      <c r="E39" s="7">
        <v>1.8599999999999998E-2</v>
      </c>
      <c r="H39" s="3"/>
      <c r="I39" s="11">
        <v>43938</v>
      </c>
      <c r="J39" s="7">
        <v>-9.4999999999999998E-3</v>
      </c>
      <c r="K39" s="7">
        <v>-9.4999999999999998E-3</v>
      </c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3">
      <c r="B40" s="3"/>
      <c r="C40" s="11">
        <v>43945</v>
      </c>
      <c r="D40" s="7">
        <v>-4.6330000000000003E-2</v>
      </c>
      <c r="E40" s="7">
        <v>-4.4630000000000003E-2</v>
      </c>
      <c r="H40" s="3"/>
      <c r="I40" s="11">
        <v>43945</v>
      </c>
      <c r="J40" s="7">
        <v>-1.7399999999999999E-2</v>
      </c>
      <c r="K40" s="7">
        <v>-6.0000000000000001E-3</v>
      </c>
      <c r="L40" s="3"/>
      <c r="M40" s="14"/>
      <c r="N40" s="14" t="s">
        <v>238</v>
      </c>
      <c r="O40" s="14" t="s">
        <v>227</v>
      </c>
      <c r="P40" s="14" t="s">
        <v>239</v>
      </c>
      <c r="Q40" s="14" t="s">
        <v>240</v>
      </c>
      <c r="R40" s="14" t="s">
        <v>241</v>
      </c>
      <c r="S40" s="14" t="s">
        <v>242</v>
      </c>
      <c r="T40" s="14" t="s">
        <v>243</v>
      </c>
      <c r="U40" s="14" t="s">
        <v>244</v>
      </c>
    </row>
    <row r="41" spans="2:21" x14ac:dyDescent="0.3">
      <c r="B41" s="3"/>
      <c r="C41" s="10" t="s">
        <v>26</v>
      </c>
      <c r="D41" s="7">
        <v>-5.3629999999999997E-2</v>
      </c>
      <c r="E41" s="7">
        <v>6.3000000000000003E-4</v>
      </c>
      <c r="H41" s="3"/>
      <c r="I41" s="10" t="s">
        <v>26</v>
      </c>
      <c r="J41" s="7">
        <v>-3.61E-2</v>
      </c>
      <c r="K41" s="7">
        <v>1.9E-3</v>
      </c>
      <c r="L41" s="3"/>
      <c r="M41" s="3" t="s">
        <v>245</v>
      </c>
      <c r="N41" s="3">
        <v>1.052526E-3</v>
      </c>
      <c r="O41" s="3">
        <v>2.0733100000000001E-3</v>
      </c>
      <c r="P41" s="3">
        <v>0.50765503599999995</v>
      </c>
      <c r="Q41" s="3">
        <v>0.61212730999999998</v>
      </c>
      <c r="R41" s="3">
        <v>-3.030165E-3</v>
      </c>
      <c r="S41" s="3">
        <v>5.1352170000000001E-3</v>
      </c>
      <c r="T41" s="3">
        <v>-3.030165E-3</v>
      </c>
      <c r="U41" s="3">
        <v>5.1352170000000001E-3</v>
      </c>
    </row>
    <row r="42" spans="2:21" ht="15" thickBot="1" x14ac:dyDescent="0.35">
      <c r="B42" s="3"/>
      <c r="C42" s="10" t="s">
        <v>27</v>
      </c>
      <c r="D42" s="7">
        <v>4.96E-3</v>
      </c>
      <c r="E42" s="7">
        <v>2.768E-2</v>
      </c>
      <c r="H42" s="3"/>
      <c r="I42" s="10" t="s">
        <v>27</v>
      </c>
      <c r="J42" s="7">
        <v>3.0700000000000002E-2</v>
      </c>
      <c r="K42" s="7">
        <v>0.03</v>
      </c>
      <c r="L42" s="3"/>
      <c r="M42" s="13" t="s">
        <v>246</v>
      </c>
      <c r="N42" s="21">
        <v>0.956783948</v>
      </c>
      <c r="O42" s="13">
        <v>8.6798143999999994E-2</v>
      </c>
      <c r="P42" s="13">
        <v>11.023092200000001</v>
      </c>
      <c r="Q42" s="20">
        <v>2.0155699999999999E-23</v>
      </c>
      <c r="R42" s="13">
        <v>0.78586403199999999</v>
      </c>
      <c r="S42" s="13">
        <v>1.1277038639999999</v>
      </c>
      <c r="T42" s="13">
        <v>0.78586403199999999</v>
      </c>
      <c r="U42" s="13">
        <v>1.1277038639999999</v>
      </c>
    </row>
    <row r="43" spans="2:21" x14ac:dyDescent="0.3">
      <c r="B43" s="3"/>
      <c r="C43" s="10" t="s">
        <v>28</v>
      </c>
      <c r="D43" s="7">
        <v>2.843E-2</v>
      </c>
      <c r="E43" s="7">
        <v>2.5400000000000002E-3</v>
      </c>
      <c r="H43" s="3"/>
      <c r="I43" s="10" t="s">
        <v>28</v>
      </c>
      <c r="J43" s="7">
        <v>5.2699999999999997E-2</v>
      </c>
      <c r="K43" s="7">
        <v>-2.29E-2</v>
      </c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2:21" x14ac:dyDescent="0.3">
      <c r="B44" s="3"/>
      <c r="C44" s="10" t="s">
        <v>29</v>
      </c>
      <c r="D44" s="7">
        <v>6.9940000000000002E-2</v>
      </c>
      <c r="E44" s="7">
        <v>1.7059999999999999E-2</v>
      </c>
      <c r="H44" s="3"/>
      <c r="I44" s="10" t="s">
        <v>29</v>
      </c>
      <c r="J44" s="7">
        <v>8.6800000000000002E-2</v>
      </c>
      <c r="K44" s="7">
        <v>3.3399999999999999E-2</v>
      </c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2:21" x14ac:dyDescent="0.3">
      <c r="B45" s="3"/>
      <c r="C45" s="10" t="s">
        <v>30</v>
      </c>
      <c r="D45" s="7">
        <v>2.2669999999999999E-2</v>
      </c>
      <c r="E45" s="7">
        <v>4.7059999999999998E-2</v>
      </c>
      <c r="H45" s="3"/>
      <c r="I45" s="10" t="s">
        <v>30</v>
      </c>
      <c r="J45" s="7">
        <v>1.18E-2</v>
      </c>
      <c r="K45" s="7">
        <v>1.3899999999999999E-2</v>
      </c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2:21" x14ac:dyDescent="0.3">
      <c r="B46" s="3"/>
      <c r="C46" s="10" t="s">
        <v>31</v>
      </c>
      <c r="D46" s="7">
        <v>5.5669999999999997E-2</v>
      </c>
      <c r="E46" s="7">
        <v>4.2220000000000001E-2</v>
      </c>
      <c r="H46" s="3"/>
      <c r="I46" s="10" t="s">
        <v>31</v>
      </c>
      <c r="J46" s="7">
        <v>5.5E-2</v>
      </c>
      <c r="K46" s="7">
        <v>6.7100000000000007E-2</v>
      </c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2:21" x14ac:dyDescent="0.3">
      <c r="B47" s="3"/>
      <c r="C47" s="10" t="s">
        <v>32</v>
      </c>
      <c r="D47" s="7">
        <v>-8.0099999999999998E-3</v>
      </c>
      <c r="E47" s="7">
        <v>-2.5159999999999998E-2</v>
      </c>
      <c r="H47" s="3"/>
      <c r="I47" s="10" t="s">
        <v>32</v>
      </c>
      <c r="J47" s="7">
        <v>1.01E-2</v>
      </c>
      <c r="K47" s="7">
        <v>-5.8500000000000003E-2</v>
      </c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2:21" x14ac:dyDescent="0.3">
      <c r="B48" s="3"/>
      <c r="C48" s="10" t="s">
        <v>33</v>
      </c>
      <c r="D48" s="7">
        <v>-1.5640000000000001E-2</v>
      </c>
      <c r="E48" s="7">
        <v>1.6209999999999999E-2</v>
      </c>
      <c r="H48" s="3"/>
      <c r="I48" s="10" t="s">
        <v>33</v>
      </c>
      <c r="J48" s="7">
        <v>-2.81E-2</v>
      </c>
      <c r="K48" s="7">
        <v>3.0700000000000002E-2</v>
      </c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2:21" x14ac:dyDescent="0.3">
      <c r="B49" s="3"/>
      <c r="C49" s="10" t="s">
        <v>34</v>
      </c>
      <c r="D49" s="7">
        <v>2.8150000000000001E-2</v>
      </c>
      <c r="E49" s="7">
        <v>-6.4799999999999996E-3</v>
      </c>
      <c r="H49" s="3"/>
      <c r="I49" s="10" t="s">
        <v>34</v>
      </c>
      <c r="J49" s="7">
        <v>1.49E-2</v>
      </c>
      <c r="K49" s="7">
        <v>-2.12E-2</v>
      </c>
      <c r="L49" s="3"/>
      <c r="M49" s="3"/>
      <c r="N49" s="3"/>
      <c r="O49" s="3"/>
      <c r="P49" s="3"/>
      <c r="Q49" s="3"/>
      <c r="R49" s="3"/>
      <c r="S49" s="3"/>
      <c r="T49" s="3"/>
      <c r="U49" s="3" t="s">
        <v>251</v>
      </c>
    </row>
    <row r="50" spans="2:21" x14ac:dyDescent="0.3">
      <c r="B50" s="3"/>
      <c r="C50" s="10" t="s">
        <v>35</v>
      </c>
      <c r="D50" s="7">
        <v>-2.6270000000000002E-2</v>
      </c>
      <c r="E50" s="7">
        <v>2.605E-2</v>
      </c>
      <c r="H50" s="3"/>
      <c r="I50" s="10" t="s">
        <v>35</v>
      </c>
      <c r="J50" s="7">
        <v>-1.6500000000000001E-2</v>
      </c>
      <c r="K50" s="7">
        <v>-2.9999999999999997E-4</v>
      </c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2:21" x14ac:dyDescent="0.3">
      <c r="B51" s="3"/>
      <c r="C51" s="10" t="s">
        <v>36</v>
      </c>
      <c r="D51" s="7">
        <v>1.66E-2</v>
      </c>
      <c r="E51" s="7">
        <v>-2.29E-2</v>
      </c>
      <c r="H51" s="3"/>
      <c r="I51" s="10" t="s">
        <v>36</v>
      </c>
      <c r="J51" s="7">
        <v>3.5299999999999998E-2</v>
      </c>
      <c r="K51" s="7">
        <v>-1.01E-2</v>
      </c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2:21" x14ac:dyDescent="0.3">
      <c r="B52" s="3"/>
      <c r="C52" s="10" t="s">
        <v>37</v>
      </c>
      <c r="D52" s="7">
        <v>6.2759999999999996E-2</v>
      </c>
      <c r="E52" s="7">
        <v>1.933E-2</v>
      </c>
      <c r="H52" s="3"/>
      <c r="I52" s="10" t="s">
        <v>37</v>
      </c>
      <c r="J52" s="7">
        <v>7.0400000000000004E-2</v>
      </c>
      <c r="K52" s="7">
        <v>3.2000000000000001E-2</v>
      </c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2:21" x14ac:dyDescent="0.3">
      <c r="B53" s="3"/>
      <c r="C53" s="10" t="s">
        <v>38</v>
      </c>
      <c r="D53" s="7">
        <v>-1.171E-2</v>
      </c>
      <c r="E53" s="7">
        <v>-1.5900000000000001E-3</v>
      </c>
      <c r="H53" s="3"/>
      <c r="I53" s="10" t="s">
        <v>38</v>
      </c>
      <c r="J53" s="7">
        <v>-3.9199999999999999E-2</v>
      </c>
      <c r="K53" s="7">
        <v>-2.6499999999999999E-2</v>
      </c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2:21" x14ac:dyDescent="0.3">
      <c r="B54" s="3"/>
      <c r="C54" s="10" t="s">
        <v>39</v>
      </c>
      <c r="D54" s="7">
        <v>-8.94E-3</v>
      </c>
      <c r="E54" s="7">
        <v>-1.5970000000000002E-2</v>
      </c>
      <c r="H54" s="3"/>
      <c r="I54" s="10" t="s">
        <v>39</v>
      </c>
      <c r="J54" s="7">
        <v>-2.7900000000000001E-2</v>
      </c>
      <c r="K54" s="7">
        <v>-3.6900000000000002E-2</v>
      </c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2:21" x14ac:dyDescent="0.3">
      <c r="B55" s="3"/>
      <c r="C55" s="10" t="s">
        <v>40</v>
      </c>
      <c r="D55" s="7">
        <v>4.4099999999999999E-3</v>
      </c>
      <c r="E55" s="7">
        <v>1.299E-2</v>
      </c>
      <c r="H55" s="3"/>
      <c r="I55" s="10" t="s">
        <v>40</v>
      </c>
      <c r="J55" s="7">
        <v>1.18E-2</v>
      </c>
      <c r="K55" s="7">
        <v>2.2800000000000001E-2</v>
      </c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2:21" x14ac:dyDescent="0.3">
      <c r="B56" s="3"/>
      <c r="C56" s="10" t="s">
        <v>41</v>
      </c>
      <c r="D56" s="7">
        <v>-1.269E-2</v>
      </c>
      <c r="E56" s="7">
        <v>2.0219999999999998E-2</v>
      </c>
      <c r="H56" s="3"/>
      <c r="I56" s="10" t="s">
        <v>41</v>
      </c>
      <c r="J56" s="7">
        <v>7.7000000000000002E-3</v>
      </c>
      <c r="K56" s="7">
        <v>9.5999999999999992E-3</v>
      </c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2:21" x14ac:dyDescent="0.3">
      <c r="B57" s="3"/>
      <c r="C57" s="10" t="s">
        <v>42</v>
      </c>
      <c r="D57" s="7">
        <v>-4.3499999999999997E-3</v>
      </c>
      <c r="E57" s="7">
        <v>-2.4499999999999999E-3</v>
      </c>
      <c r="H57" s="3"/>
      <c r="I57" s="10" t="s">
        <v>42</v>
      </c>
      <c r="J57" s="7">
        <v>-4.1000000000000003E-3</v>
      </c>
      <c r="K57" s="7">
        <v>-1.4500000000000001E-2</v>
      </c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2:21" x14ac:dyDescent="0.3">
      <c r="B58" s="3"/>
      <c r="C58" s="10" t="s">
        <v>43</v>
      </c>
      <c r="D58" s="7">
        <v>-2.81E-2</v>
      </c>
      <c r="E58" s="7">
        <v>-6.1199999999999996E-3</v>
      </c>
      <c r="H58" s="3"/>
      <c r="I58" s="10" t="s">
        <v>43</v>
      </c>
      <c r="J58" s="7">
        <v>-1.09E-2</v>
      </c>
      <c r="K58" s="7">
        <v>-6.4000000000000003E-3</v>
      </c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2:21" x14ac:dyDescent="0.3">
      <c r="B59" s="3"/>
      <c r="C59" s="10" t="s">
        <v>44</v>
      </c>
      <c r="D59" s="7">
        <v>-2.35E-2</v>
      </c>
      <c r="E59" s="7">
        <v>-2.4420000000000001E-2</v>
      </c>
      <c r="H59" s="3"/>
      <c r="I59" s="10" t="s">
        <v>44</v>
      </c>
      <c r="J59" s="7">
        <v>-1.2800000000000001E-2</v>
      </c>
      <c r="K59" s="7">
        <v>-2.76E-2</v>
      </c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2:21" x14ac:dyDescent="0.3">
      <c r="B60" s="3"/>
      <c r="C60" s="10" t="s">
        <v>45</v>
      </c>
      <c r="D60" s="7">
        <v>4.478E-2</v>
      </c>
      <c r="E60" s="7">
        <v>-1.116E-2</v>
      </c>
      <c r="H60" s="3"/>
      <c r="I60" s="10" t="s">
        <v>45</v>
      </c>
      <c r="J60" s="7">
        <v>9.0999999999999998E-2</v>
      </c>
      <c r="K60" s="7">
        <v>4.02E-2</v>
      </c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2:21" x14ac:dyDescent="0.3">
      <c r="B61" s="3"/>
      <c r="C61" s="10" t="s">
        <v>46</v>
      </c>
      <c r="D61" s="7">
        <v>7.11E-3</v>
      </c>
      <c r="E61" s="7">
        <v>8.7000000000000001E-4</v>
      </c>
      <c r="H61" s="3"/>
      <c r="I61" s="10" t="s">
        <v>46</v>
      </c>
      <c r="J61" s="7">
        <v>3.0000000000000001E-3</v>
      </c>
      <c r="K61" s="7">
        <v>-4.1999999999999997E-3</v>
      </c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2:21" x14ac:dyDescent="0.3">
      <c r="B62" s="3"/>
      <c r="C62" s="10" t="s">
        <v>47</v>
      </c>
      <c r="D62" s="7">
        <v>-2.555E-2</v>
      </c>
      <c r="E62" s="7">
        <v>1.712E-2</v>
      </c>
      <c r="H62" s="3"/>
      <c r="I62" s="10" t="s">
        <v>47</v>
      </c>
      <c r="J62" s="7">
        <v>-5.4699999999999999E-2</v>
      </c>
      <c r="K62" s="7">
        <v>-2.7400000000000001E-2</v>
      </c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2:21" x14ac:dyDescent="0.3">
      <c r="B63" s="3"/>
      <c r="C63" s="10" t="s">
        <v>48</v>
      </c>
      <c r="D63" s="7">
        <v>-4.4900000000000002E-2</v>
      </c>
      <c r="E63" s="7">
        <v>-2.9069999999999999E-2</v>
      </c>
      <c r="H63" s="3"/>
      <c r="I63" s="10" t="s">
        <v>48</v>
      </c>
      <c r="J63" s="7">
        <v>-8.2000000000000007E-3</v>
      </c>
      <c r="K63" s="7">
        <v>1.0200000000000001E-2</v>
      </c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2:21" x14ac:dyDescent="0.3">
      <c r="B64" s="3"/>
      <c r="C64" s="10" t="s">
        <v>49</v>
      </c>
      <c r="D64" s="7">
        <v>4.1669999999999999E-2</v>
      </c>
      <c r="E64" s="7">
        <v>5.3650000000000003E-2</v>
      </c>
      <c r="H64" s="3"/>
      <c r="I64" s="10" t="s">
        <v>49</v>
      </c>
      <c r="J64" s="7">
        <v>2.2700000000000001E-2</v>
      </c>
      <c r="K64" s="7">
        <v>1.9400000000000001E-2</v>
      </c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2:21" x14ac:dyDescent="0.3">
      <c r="B65" s="3"/>
      <c r="C65" s="10" t="s">
        <v>50</v>
      </c>
      <c r="D65" s="7">
        <v>-2.103E-2</v>
      </c>
      <c r="E65" s="7">
        <v>1.223E-2</v>
      </c>
      <c r="H65" s="3"/>
      <c r="I65" s="10" t="s">
        <v>50</v>
      </c>
      <c r="J65" s="7">
        <v>-3.2099999999999997E-2</v>
      </c>
      <c r="K65" s="7">
        <v>-1.61E-2</v>
      </c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2:21" x14ac:dyDescent="0.3">
      <c r="B66" s="3"/>
      <c r="C66" s="10" t="s">
        <v>51</v>
      </c>
      <c r="D66" s="7">
        <v>-5.1999999999999995E-4</v>
      </c>
      <c r="E66" s="7">
        <v>-1.5900000000000001E-3</v>
      </c>
      <c r="H66" s="3"/>
      <c r="I66" s="10" t="s">
        <v>51</v>
      </c>
      <c r="J66" s="7">
        <v>-1.47E-2</v>
      </c>
      <c r="K66" s="7">
        <v>-0.01</v>
      </c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2:21" x14ac:dyDescent="0.3">
      <c r="B67" s="3"/>
      <c r="C67" s="10" t="s">
        <v>52</v>
      </c>
      <c r="D67" s="7">
        <v>-3.1130000000000001E-2</v>
      </c>
      <c r="E67" s="7">
        <v>-3.882E-2</v>
      </c>
      <c r="H67" s="3"/>
      <c r="I67" s="10" t="s">
        <v>52</v>
      </c>
      <c r="J67" s="7">
        <v>-4.8300000000000003E-2</v>
      </c>
      <c r="K67" s="7">
        <v>-4.8300000000000003E-2</v>
      </c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3">
      <c r="B68" s="3"/>
      <c r="C68" s="11">
        <v>44141</v>
      </c>
      <c r="D68" s="7">
        <v>1.0489999999999999E-2</v>
      </c>
      <c r="E68" s="7">
        <v>4.4299999999999999E-2</v>
      </c>
      <c r="H68" s="3"/>
      <c r="I68" s="11">
        <v>44141</v>
      </c>
      <c r="J68" s="7">
        <v>6.08E-2</v>
      </c>
      <c r="K68" s="7">
        <v>5.9700000000000003E-2</v>
      </c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2:21" x14ac:dyDescent="0.3">
      <c r="B69" s="3"/>
      <c r="C69" s="11">
        <v>44148</v>
      </c>
      <c r="D69" s="7">
        <v>2.8799999999999999E-2</v>
      </c>
      <c r="E69" s="7">
        <v>3.4729999999999997E-2</v>
      </c>
      <c r="H69" s="3"/>
      <c r="I69" s="11">
        <v>44148</v>
      </c>
      <c r="J69" s="7">
        <v>2.3800000000000002E-2</v>
      </c>
      <c r="K69" s="7">
        <v>6.88E-2</v>
      </c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2:21" x14ac:dyDescent="0.3">
      <c r="B70" s="3"/>
      <c r="C70" s="11">
        <v>44155</v>
      </c>
      <c r="D70" s="7">
        <v>3.4970000000000001E-2</v>
      </c>
      <c r="E70" s="7">
        <v>2.0920000000000001E-2</v>
      </c>
      <c r="H70" s="3"/>
      <c r="I70" s="11">
        <v>44155</v>
      </c>
      <c r="J70" s="7">
        <v>8.6999999999999994E-3</v>
      </c>
      <c r="K70" s="7">
        <v>5.5999999999999999E-3</v>
      </c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2:21" x14ac:dyDescent="0.3">
      <c r="B71" s="3"/>
      <c r="C71" s="11">
        <v>44162</v>
      </c>
      <c r="D71" s="7">
        <v>2.564E-2</v>
      </c>
      <c r="E71" s="7">
        <v>9.4699999999999993E-3</v>
      </c>
      <c r="H71" s="3"/>
      <c r="I71" s="11">
        <v>44162</v>
      </c>
      <c r="J71" s="7">
        <v>3.1300000000000001E-2</v>
      </c>
      <c r="K71" s="7">
        <v>2.5000000000000001E-3</v>
      </c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2:21" x14ac:dyDescent="0.3">
      <c r="B72" s="3"/>
      <c r="C72" s="10" t="s">
        <v>53</v>
      </c>
      <c r="D72" s="7">
        <v>0.10979999999999999</v>
      </c>
      <c r="E72" s="7">
        <v>5.0000000000000001E-3</v>
      </c>
      <c r="H72" s="3"/>
      <c r="I72" s="10" t="s">
        <v>53</v>
      </c>
      <c r="J72" s="7">
        <v>0.1072</v>
      </c>
      <c r="K72" s="7">
        <v>2.87E-2</v>
      </c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2:21" x14ac:dyDescent="0.3">
      <c r="B73" s="3"/>
      <c r="C73" s="10" t="s">
        <v>54</v>
      </c>
      <c r="D73" s="7">
        <v>2.4729999999999999E-2</v>
      </c>
      <c r="E73" s="7">
        <v>1.2800000000000001E-3</v>
      </c>
      <c r="H73" s="3"/>
      <c r="I73" s="10" t="s">
        <v>54</v>
      </c>
      <c r="J73" s="7">
        <v>1.7600000000000001E-2</v>
      </c>
      <c r="K73" s="7">
        <v>-5.0000000000000001E-4</v>
      </c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2:21" x14ac:dyDescent="0.3">
      <c r="B74" s="3"/>
      <c r="C74" s="10" t="s">
        <v>55</v>
      </c>
      <c r="D74" s="7">
        <v>1.319E-2</v>
      </c>
      <c r="E74" s="7">
        <v>4.9500000000000004E-3</v>
      </c>
      <c r="H74" s="3"/>
      <c r="I74" s="10" t="s">
        <v>55</v>
      </c>
      <c r="J74" s="7">
        <v>1.95E-2</v>
      </c>
      <c r="K74" s="7">
        <v>-2.7000000000000001E-3</v>
      </c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2:21" x14ac:dyDescent="0.3">
      <c r="B75" s="3"/>
      <c r="C75" s="10" t="s">
        <v>56</v>
      </c>
      <c r="D75" s="7">
        <v>-1.8550000000000001E-2</v>
      </c>
      <c r="E75" s="7">
        <v>-1.6000000000000001E-3</v>
      </c>
      <c r="H75" s="3"/>
      <c r="I75" s="10" t="s">
        <v>56</v>
      </c>
      <c r="J75" s="7">
        <v>-1.41E-2</v>
      </c>
      <c r="K75" s="7">
        <v>-4.1000000000000003E-3</v>
      </c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2:21" x14ac:dyDescent="0.3">
      <c r="B76" s="3"/>
      <c r="C76" s="10" t="s">
        <v>57</v>
      </c>
      <c r="D76" s="7">
        <v>-1.3180000000000001E-2</v>
      </c>
      <c r="E76" s="7">
        <v>-1.166E-2</v>
      </c>
      <c r="H76" s="3"/>
      <c r="I76" s="10" t="s">
        <v>57</v>
      </c>
      <c r="J76" s="7">
        <v>-1.8700000000000001E-2</v>
      </c>
      <c r="K76" s="7">
        <v>-6.4000000000000003E-3</v>
      </c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2:21" x14ac:dyDescent="0.3">
      <c r="B77" s="3"/>
      <c r="C77" s="10" t="s">
        <v>58</v>
      </c>
      <c r="D77" s="7">
        <v>8.9429999999999996E-2</v>
      </c>
      <c r="E77" s="7">
        <v>2.5930000000000002E-2</v>
      </c>
      <c r="H77" s="3"/>
      <c r="I77" s="10" t="s">
        <v>58</v>
      </c>
      <c r="J77" s="7">
        <v>0.15359999999999999</v>
      </c>
      <c r="K77" s="7">
        <v>6.3899999999999998E-2</v>
      </c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2:21" x14ac:dyDescent="0.3">
      <c r="B78" s="3"/>
      <c r="C78" s="10" t="s">
        <v>59</v>
      </c>
      <c r="D78" s="7">
        <v>-2.8139999999999998E-2</v>
      </c>
      <c r="E78" s="7">
        <v>-6.2899999999999996E-3</v>
      </c>
      <c r="H78" s="3"/>
      <c r="I78" s="10" t="s">
        <v>59</v>
      </c>
      <c r="J78" s="7">
        <v>-5.7700000000000001E-2</v>
      </c>
      <c r="K78" s="7">
        <v>-0.02</v>
      </c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2:21" x14ac:dyDescent="0.3">
      <c r="B79" s="3"/>
      <c r="C79" s="10" t="s">
        <v>60</v>
      </c>
      <c r="D79" s="7">
        <v>-9.9600000000000001E-3</v>
      </c>
      <c r="E79" s="7">
        <v>1.2659999999999999E-2</v>
      </c>
      <c r="H79" s="3"/>
      <c r="I79" s="10" t="s">
        <v>60</v>
      </c>
      <c r="J79" s="7">
        <v>-1.18E-2</v>
      </c>
      <c r="K79" s="7">
        <v>-6.0000000000000001E-3</v>
      </c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2:21" x14ac:dyDescent="0.3">
      <c r="B80" s="3"/>
      <c r="C80" s="10" t="s">
        <v>61</v>
      </c>
      <c r="D80" s="7">
        <v>-7.5509999999999994E-2</v>
      </c>
      <c r="E80" s="7">
        <v>-2.8379999999999999E-2</v>
      </c>
      <c r="H80" s="3"/>
      <c r="I80" s="10" t="s">
        <v>61</v>
      </c>
      <c r="J80" s="7">
        <v>-4.8800000000000003E-2</v>
      </c>
      <c r="K80" s="7">
        <v>-4.2999999999999997E-2</v>
      </c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2:21" x14ac:dyDescent="0.3">
      <c r="B81" s="3"/>
      <c r="C81" s="11">
        <v>44232</v>
      </c>
      <c r="D81" s="7">
        <v>2.7380000000000002E-2</v>
      </c>
      <c r="E81" s="7">
        <v>3.5279999999999999E-2</v>
      </c>
      <c r="H81" s="3"/>
      <c r="I81" s="11">
        <v>44232</v>
      </c>
      <c r="J81" s="7">
        <v>5.4999999999999997E-3</v>
      </c>
      <c r="K81" s="7">
        <v>1.2800000000000001E-2</v>
      </c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2:21" x14ac:dyDescent="0.3">
      <c r="B82" s="3"/>
      <c r="C82" s="11">
        <v>44239</v>
      </c>
      <c r="D82" s="7">
        <v>3.5470000000000002E-2</v>
      </c>
      <c r="E82" s="7">
        <v>-4.9399999999999999E-3</v>
      </c>
      <c r="H82" s="3"/>
      <c r="I82" s="11">
        <v>44239</v>
      </c>
      <c r="J82" s="7">
        <v>5.5899999999999998E-2</v>
      </c>
      <c r="K82" s="7">
        <v>1.55E-2</v>
      </c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2:21" x14ac:dyDescent="0.3">
      <c r="B83" s="3"/>
      <c r="C83" s="11">
        <v>44246</v>
      </c>
      <c r="D83" s="7">
        <v>5.0360000000000002E-2</v>
      </c>
      <c r="E83" s="7">
        <v>-1.9E-3</v>
      </c>
      <c r="H83" s="3"/>
      <c r="I83" s="11">
        <v>44246</v>
      </c>
      <c r="J83" s="7">
        <v>7.0400000000000004E-2</v>
      </c>
      <c r="K83" s="7">
        <v>5.1999999999999998E-3</v>
      </c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2:21" x14ac:dyDescent="0.3">
      <c r="B84" s="3"/>
      <c r="C84" s="11">
        <v>44253</v>
      </c>
      <c r="D84" s="7">
        <v>3.1879999999999999E-2</v>
      </c>
      <c r="E84" s="7">
        <v>-1.7739999999999999E-2</v>
      </c>
      <c r="H84" s="3"/>
      <c r="I84" s="11">
        <v>44253</v>
      </c>
      <c r="J84" s="7">
        <v>-2.5999999999999999E-2</v>
      </c>
      <c r="K84" s="7">
        <v>-2.12E-2</v>
      </c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2:21" x14ac:dyDescent="0.3">
      <c r="B85" s="3"/>
      <c r="C85" s="11">
        <v>44260</v>
      </c>
      <c r="D85" s="7">
        <v>-6.6159999999999997E-2</v>
      </c>
      <c r="E85" s="7">
        <v>5.62E-3</v>
      </c>
      <c r="H85" s="3"/>
      <c r="I85" s="11">
        <v>44260</v>
      </c>
      <c r="J85" s="7">
        <v>-4.3900000000000002E-2</v>
      </c>
      <c r="K85" s="7">
        <v>2.2700000000000001E-2</v>
      </c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2:21" x14ac:dyDescent="0.3">
      <c r="B86" s="3"/>
      <c r="C86" s="11">
        <v>44267</v>
      </c>
      <c r="D86" s="7">
        <v>-8.7500000000000008E-3</v>
      </c>
      <c r="E86" s="7">
        <v>8.3400000000000002E-3</v>
      </c>
      <c r="H86" s="3"/>
      <c r="I86" s="11">
        <v>44267</v>
      </c>
      <c r="J86" s="7">
        <v>-1.8599999999999998E-2</v>
      </c>
      <c r="K86" s="7">
        <v>1.9699999999999999E-2</v>
      </c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2:21" x14ac:dyDescent="0.3">
      <c r="B87" s="3"/>
      <c r="C87" s="11">
        <v>44274</v>
      </c>
      <c r="D87" s="7">
        <v>-6.5070000000000003E-2</v>
      </c>
      <c r="E87" s="7">
        <v>-8.6599999999999993E-3</v>
      </c>
      <c r="H87" s="3"/>
      <c r="I87" s="11">
        <v>44274</v>
      </c>
      <c r="J87" s="7">
        <v>-4.7699999999999999E-2</v>
      </c>
      <c r="K87" s="7">
        <v>-7.7999999999999996E-3</v>
      </c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2:21" x14ac:dyDescent="0.3">
      <c r="B88" s="3"/>
      <c r="C88" s="11">
        <v>44281</v>
      </c>
      <c r="D88" s="7">
        <v>1.1639999999999999E-2</v>
      </c>
      <c r="E88" s="7">
        <v>1.729E-2</v>
      </c>
      <c r="H88" s="3"/>
      <c r="I88" s="11">
        <v>44281</v>
      </c>
      <c r="J88" s="7">
        <v>1.1299999999999999E-2</v>
      </c>
      <c r="K88" s="7">
        <v>4.7999999999999996E-3</v>
      </c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2:21" x14ac:dyDescent="0.3">
      <c r="B89" s="3"/>
      <c r="C89" s="11">
        <v>44288</v>
      </c>
      <c r="D89" s="7">
        <v>1.5140000000000001E-2</v>
      </c>
      <c r="E89" s="7">
        <v>6.6E-4</v>
      </c>
      <c r="H89" s="3"/>
      <c r="I89" s="11">
        <v>44288</v>
      </c>
      <c r="J89" s="7">
        <v>-9.5999999999999992E-3</v>
      </c>
      <c r="K89" s="7">
        <v>-5.0000000000000001E-4</v>
      </c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2:21" x14ac:dyDescent="0.3">
      <c r="B90" s="3"/>
      <c r="C90" s="11">
        <v>44295</v>
      </c>
      <c r="D90" s="7">
        <v>3.125E-2</v>
      </c>
      <c r="E90" s="7">
        <v>2.4379999999999999E-2</v>
      </c>
      <c r="H90" s="3"/>
      <c r="I90" s="11">
        <v>44295</v>
      </c>
      <c r="J90" s="7">
        <v>3.3399999999999999E-2</v>
      </c>
      <c r="K90" s="7">
        <v>2.6499999999999999E-2</v>
      </c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2:21" x14ac:dyDescent="0.3">
      <c r="B91" s="3"/>
      <c r="C91" s="11">
        <v>44302</v>
      </c>
      <c r="D91" s="7">
        <v>2.9260000000000001E-2</v>
      </c>
      <c r="E91" s="7">
        <v>9.7599999999999996E-3</v>
      </c>
      <c r="H91" s="3"/>
      <c r="I91" s="11">
        <v>44302</v>
      </c>
      <c r="J91" s="7">
        <v>6.9000000000000006E-2</v>
      </c>
      <c r="K91" s="7">
        <v>1.4999999999999999E-2</v>
      </c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2:21" x14ac:dyDescent="0.3">
      <c r="B92" s="3"/>
      <c r="C92" s="11">
        <v>44309</v>
      </c>
      <c r="D92" s="7">
        <v>1.9089999999999999E-2</v>
      </c>
      <c r="E92" s="7">
        <v>-4.0000000000000002E-4</v>
      </c>
      <c r="H92" s="3"/>
      <c r="I92" s="11">
        <v>44309</v>
      </c>
      <c r="J92" s="7">
        <v>1.0699999999999999E-2</v>
      </c>
      <c r="K92" s="7">
        <v>-1.15E-2</v>
      </c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2:21" x14ac:dyDescent="0.3">
      <c r="B93" s="3"/>
      <c r="C93" s="11">
        <v>44316</v>
      </c>
      <c r="D93" s="7">
        <v>0</v>
      </c>
      <c r="E93" s="7">
        <v>-4.9399999999999999E-3</v>
      </c>
      <c r="H93" s="3"/>
      <c r="I93" s="11">
        <v>44316</v>
      </c>
      <c r="J93" s="7">
        <v>-7.0000000000000001E-3</v>
      </c>
      <c r="K93" s="7">
        <v>4.4999999999999997E-3</v>
      </c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2:21" x14ac:dyDescent="0.3">
      <c r="B94" s="3"/>
      <c r="C94" s="10" t="s">
        <v>62</v>
      </c>
      <c r="D94" s="7">
        <v>4.9200000000000001E-2</v>
      </c>
      <c r="E94" s="7">
        <v>7.8300000000000002E-3</v>
      </c>
      <c r="H94" s="3"/>
      <c r="I94" s="10" t="s">
        <v>62</v>
      </c>
      <c r="J94" s="7">
        <v>7.5499999999999998E-2</v>
      </c>
      <c r="K94" s="7">
        <v>2.29E-2</v>
      </c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2:21" x14ac:dyDescent="0.3">
      <c r="B95" s="3"/>
      <c r="C95" s="10" t="s">
        <v>63</v>
      </c>
      <c r="D95" s="7">
        <v>-1.3220000000000001E-2</v>
      </c>
      <c r="E95" s="7">
        <v>-9.41E-3</v>
      </c>
      <c r="H95" s="3"/>
      <c r="I95" s="10" t="s">
        <v>63</v>
      </c>
      <c r="J95" s="7">
        <v>-6.1199999999999997E-2</v>
      </c>
      <c r="K95" s="7">
        <v>-1.21E-2</v>
      </c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2:21" x14ac:dyDescent="0.3">
      <c r="B96" s="3"/>
      <c r="C96" s="10" t="s">
        <v>64</v>
      </c>
      <c r="D96" s="7">
        <v>-2.639E-2</v>
      </c>
      <c r="E96" s="7">
        <v>2.3E-3</v>
      </c>
      <c r="H96" s="3"/>
      <c r="I96" s="10" t="s">
        <v>64</v>
      </c>
      <c r="J96" s="7">
        <v>-2.3E-2</v>
      </c>
      <c r="K96" s="7">
        <v>-3.5999999999999999E-3</v>
      </c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2:21" x14ac:dyDescent="0.3">
      <c r="B97" s="3"/>
      <c r="C97" s="10" t="s">
        <v>65</v>
      </c>
      <c r="D97" s="7">
        <v>7.3699999999999998E-3</v>
      </c>
      <c r="E97" s="7">
        <v>2.1219999999999999E-2</v>
      </c>
      <c r="H97" s="3"/>
      <c r="I97" s="10" t="s">
        <v>65</v>
      </c>
      <c r="J97" s="7">
        <v>1.17E-2</v>
      </c>
      <c r="K97" s="7">
        <v>5.9999999999999995E-4</v>
      </c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2:21" x14ac:dyDescent="0.3">
      <c r="B98" s="3"/>
      <c r="C98" s="10" t="s">
        <v>66</v>
      </c>
      <c r="D98" s="7">
        <v>1.3010000000000001E-2</v>
      </c>
      <c r="E98" s="7">
        <v>1.6140000000000002E-2</v>
      </c>
      <c r="H98" s="3"/>
      <c r="I98" s="10" t="s">
        <v>66</v>
      </c>
      <c r="J98" s="7">
        <v>2.5600000000000001E-2</v>
      </c>
      <c r="K98" s="7">
        <v>6.6E-3</v>
      </c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2:21" x14ac:dyDescent="0.3">
      <c r="B99" s="3"/>
      <c r="C99" s="10" t="s">
        <v>67</v>
      </c>
      <c r="D99" s="7">
        <v>2.5699999999999998E-3</v>
      </c>
      <c r="E99" s="7">
        <v>2.32E-3</v>
      </c>
      <c r="H99" s="3"/>
      <c r="I99" s="10" t="s">
        <v>67</v>
      </c>
      <c r="J99" s="7">
        <v>-1.61E-2</v>
      </c>
      <c r="K99" s="7">
        <v>9.1999999999999998E-3</v>
      </c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2:21" x14ac:dyDescent="0.3">
      <c r="B100" s="3"/>
      <c r="C100" s="10" t="s">
        <v>68</v>
      </c>
      <c r="D100" s="7">
        <v>-1.1769999999999999E-2</v>
      </c>
      <c r="E100" s="7">
        <v>7.7400000000000004E-3</v>
      </c>
      <c r="H100" s="3"/>
      <c r="I100" s="10" t="s">
        <v>68</v>
      </c>
      <c r="J100" s="7">
        <v>-5.0700000000000002E-2</v>
      </c>
      <c r="K100" s="7">
        <v>-1.6299999999999999E-2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2:21" x14ac:dyDescent="0.3">
      <c r="B101" s="3"/>
      <c r="C101" s="10" t="s">
        <v>69</v>
      </c>
      <c r="D101" s="7">
        <v>1.417E-2</v>
      </c>
      <c r="E101" s="7">
        <v>-8.26E-3</v>
      </c>
      <c r="H101" s="3"/>
      <c r="I101" s="10" t="s">
        <v>69</v>
      </c>
      <c r="J101" s="7">
        <v>4.36E-2</v>
      </c>
      <c r="K101" s="7">
        <v>1.6899999999999998E-2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2:21" x14ac:dyDescent="0.3">
      <c r="B102" s="3"/>
      <c r="C102" s="10" t="s">
        <v>70</v>
      </c>
      <c r="D102" s="7">
        <v>3.9100000000000003E-3</v>
      </c>
      <c r="E102" s="7">
        <v>8.0000000000000007E-5</v>
      </c>
      <c r="H102" s="3"/>
      <c r="I102" s="10" t="s">
        <v>70</v>
      </c>
      <c r="J102" s="7">
        <v>-1.7500000000000002E-2</v>
      </c>
      <c r="K102" s="7">
        <v>-1.8E-3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2:21" x14ac:dyDescent="0.3">
      <c r="B103" s="3"/>
      <c r="C103" s="10" t="s">
        <v>71</v>
      </c>
      <c r="D103" s="7">
        <v>-2.47E-3</v>
      </c>
      <c r="E103" s="7">
        <v>-4.8300000000000001E-3</v>
      </c>
      <c r="H103" s="3"/>
      <c r="I103" s="10" t="s">
        <v>71</v>
      </c>
      <c r="J103" s="7">
        <v>2.52E-2</v>
      </c>
      <c r="K103" s="7">
        <v>-2.0000000000000001E-4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2:21" x14ac:dyDescent="0.3">
      <c r="B104" s="3"/>
      <c r="C104" s="10" t="s">
        <v>72</v>
      </c>
      <c r="D104" s="7">
        <v>4.147E-2</v>
      </c>
      <c r="E104" s="7">
        <v>1.0279999999999999E-2</v>
      </c>
      <c r="H104" s="3"/>
      <c r="I104" s="10" t="s">
        <v>72</v>
      </c>
      <c r="J104" s="7">
        <v>-2.87E-2</v>
      </c>
      <c r="K104" s="7">
        <v>-1.6E-2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2:21" x14ac:dyDescent="0.3">
      <c r="B105" s="3"/>
      <c r="C105" s="10" t="s">
        <v>73</v>
      </c>
      <c r="D105" s="7">
        <v>-2.6800000000000001E-2</v>
      </c>
      <c r="E105" s="7">
        <v>6.3E-3</v>
      </c>
      <c r="H105" s="3"/>
      <c r="I105" s="10" t="s">
        <v>73</v>
      </c>
      <c r="J105" s="7">
        <v>-8.0000000000000004E-4</v>
      </c>
      <c r="K105" s="7">
        <v>2.8E-3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2:21" x14ac:dyDescent="0.3">
      <c r="B106" s="3"/>
      <c r="C106" s="10" t="s">
        <v>74</v>
      </c>
      <c r="D106" s="7">
        <v>4.972E-2</v>
      </c>
      <c r="E106" s="7">
        <v>-2.4000000000000001E-4</v>
      </c>
      <c r="H106" s="3"/>
      <c r="I106" s="10" t="s">
        <v>74</v>
      </c>
      <c r="J106" s="7">
        <v>2.9499999999999998E-2</v>
      </c>
      <c r="K106" s="7">
        <v>6.9999999999999999E-4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2:21" x14ac:dyDescent="0.3">
      <c r="B107" s="3"/>
      <c r="C107" s="10" t="s">
        <v>75</v>
      </c>
      <c r="D107" s="7">
        <v>-2.5260000000000001E-2</v>
      </c>
      <c r="E107" s="7">
        <v>1.9720000000000001E-2</v>
      </c>
      <c r="H107" s="3"/>
      <c r="I107" s="10" t="s">
        <v>75</v>
      </c>
      <c r="J107" s="7">
        <v>-1.11E-2</v>
      </c>
      <c r="K107" s="7">
        <v>1.29E-2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2:21" x14ac:dyDescent="0.3">
      <c r="B108" s="3"/>
      <c r="C108" s="10" t="s">
        <v>76</v>
      </c>
      <c r="D108" s="7">
        <v>-5.6189999999999997E-2</v>
      </c>
      <c r="E108" s="7">
        <v>1.201E-2</v>
      </c>
      <c r="H108" s="3"/>
      <c r="I108" s="10" t="s">
        <v>76</v>
      </c>
      <c r="J108" s="7">
        <v>-4.2599999999999999E-2</v>
      </c>
      <c r="K108" s="7">
        <v>1.34E-2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2:21" x14ac:dyDescent="0.3">
      <c r="B109" s="3"/>
      <c r="C109" s="10" t="s">
        <v>77</v>
      </c>
      <c r="D109" s="7">
        <v>-0.10909000000000001</v>
      </c>
      <c r="E109" s="7">
        <v>-2.2020000000000001E-2</v>
      </c>
      <c r="H109" s="3"/>
      <c r="I109" s="10" t="s">
        <v>77</v>
      </c>
      <c r="J109" s="7">
        <v>-7.4999999999999997E-2</v>
      </c>
      <c r="K109" s="7">
        <v>-1.8100000000000002E-2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2:21" x14ac:dyDescent="0.3">
      <c r="B110" s="3"/>
      <c r="C110" s="10" t="s">
        <v>78</v>
      </c>
      <c r="D110" s="7">
        <v>2.3029999999999998E-2</v>
      </c>
      <c r="E110" s="7">
        <v>3.6700000000000001E-3</v>
      </c>
      <c r="H110" s="3"/>
      <c r="I110" s="10" t="s">
        <v>78</v>
      </c>
      <c r="J110" s="7">
        <v>3.4099999999999998E-2</v>
      </c>
      <c r="K110" s="7">
        <v>8.5000000000000006E-3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2:21" x14ac:dyDescent="0.3">
      <c r="B111" s="3"/>
      <c r="C111" s="10" t="s">
        <v>79</v>
      </c>
      <c r="D111" s="7">
        <v>1.5219999999999999E-2</v>
      </c>
      <c r="E111" s="7">
        <v>4.62E-3</v>
      </c>
      <c r="H111" s="3"/>
      <c r="I111" s="10" t="s">
        <v>79</v>
      </c>
      <c r="J111" s="7">
        <v>6.9999999999999999E-4</v>
      </c>
      <c r="K111" s="7">
        <v>-1.4E-3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2:21" x14ac:dyDescent="0.3">
      <c r="B112" s="3"/>
      <c r="C112" s="10" t="s">
        <v>80</v>
      </c>
      <c r="D112" s="7">
        <v>-4.6240000000000003E-2</v>
      </c>
      <c r="E112" s="7">
        <v>-1.546E-2</v>
      </c>
      <c r="H112" s="3"/>
      <c r="I112" s="10" t="s">
        <v>80</v>
      </c>
      <c r="J112" s="7">
        <v>-2.6599999999999999E-2</v>
      </c>
      <c r="K112" s="7">
        <v>-1.5299999999999999E-2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2:21" x14ac:dyDescent="0.3">
      <c r="B113" s="3"/>
      <c r="C113" s="10" t="s">
        <v>81</v>
      </c>
      <c r="D113" s="7">
        <v>-6.9860000000000005E-2</v>
      </c>
      <c r="E113" s="7">
        <v>-3.8999999999999999E-4</v>
      </c>
      <c r="H113" s="3"/>
      <c r="I113" s="10" t="s">
        <v>81</v>
      </c>
      <c r="J113" s="7">
        <v>-8.2500000000000004E-2</v>
      </c>
      <c r="K113" s="7">
        <v>-9.2999999999999992E-3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2:21" x14ac:dyDescent="0.3">
      <c r="B114" s="3"/>
      <c r="C114" s="10" t="s">
        <v>82</v>
      </c>
      <c r="D114" s="7">
        <v>5.3600000000000002E-3</v>
      </c>
      <c r="E114" s="7">
        <v>-8.2500000000000004E-3</v>
      </c>
      <c r="H114" s="3"/>
      <c r="I114" s="10" t="s">
        <v>82</v>
      </c>
      <c r="J114" s="7">
        <v>2.0000000000000001E-4</v>
      </c>
      <c r="K114" s="7">
        <v>1.26E-2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2:21" x14ac:dyDescent="0.3">
      <c r="B115" s="3"/>
      <c r="C115" s="10" t="s">
        <v>83</v>
      </c>
      <c r="D115" s="7">
        <v>-2.0639999999999999E-2</v>
      </c>
      <c r="E115" s="7">
        <v>-2.1399999999999999E-2</v>
      </c>
      <c r="H115" s="3"/>
      <c r="I115" s="10" t="s">
        <v>83</v>
      </c>
      <c r="J115" s="7">
        <v>-4.7000000000000002E-3</v>
      </c>
      <c r="K115" s="7">
        <v>-3.5000000000000001E-3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2:21" x14ac:dyDescent="0.3">
      <c r="B116" s="3"/>
      <c r="C116" s="10" t="s">
        <v>84</v>
      </c>
      <c r="D116" s="7">
        <v>3.2070000000000001E-2</v>
      </c>
      <c r="E116" s="7">
        <v>1.873E-2</v>
      </c>
      <c r="H116" s="3"/>
      <c r="I116" s="10" t="s">
        <v>84</v>
      </c>
      <c r="J116" s="7">
        <v>2.52E-2</v>
      </c>
      <c r="K116" s="7">
        <v>9.7000000000000003E-3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2:21" x14ac:dyDescent="0.3">
      <c r="B117" s="3"/>
      <c r="C117" s="10" t="s">
        <v>85</v>
      </c>
      <c r="D117" s="7">
        <v>-7.9699999999999997E-3</v>
      </c>
      <c r="E117" s="7">
        <v>5.7200000000000003E-3</v>
      </c>
      <c r="H117" s="3"/>
      <c r="I117" s="10" t="s">
        <v>85</v>
      </c>
      <c r="J117" s="7">
        <v>2.2100000000000002E-2</v>
      </c>
      <c r="K117" s="7">
        <v>1.95E-2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2:21" x14ac:dyDescent="0.3">
      <c r="B118" s="3"/>
      <c r="C118" s="10" t="s">
        <v>86</v>
      </c>
      <c r="D118" s="7">
        <v>-4.5879999999999997E-2</v>
      </c>
      <c r="E118" s="7">
        <v>7.2700000000000004E-3</v>
      </c>
      <c r="H118" s="3"/>
      <c r="I118" s="10" t="s">
        <v>86</v>
      </c>
      <c r="J118" s="7">
        <v>-7.2499999999999995E-2</v>
      </c>
      <c r="K118" s="7">
        <v>-4.1000000000000003E-3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2:21" x14ac:dyDescent="0.3">
      <c r="B119" s="3"/>
      <c r="C119" s="10" t="s">
        <v>87</v>
      </c>
      <c r="D119" s="7">
        <v>-4.9880000000000001E-2</v>
      </c>
      <c r="E119" s="7">
        <v>-1.238E-2</v>
      </c>
      <c r="H119" s="3"/>
      <c r="I119" s="10" t="s">
        <v>87</v>
      </c>
      <c r="J119" s="7">
        <v>-2.4E-2</v>
      </c>
      <c r="K119" s="7">
        <v>4.5999999999999999E-3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2:21" x14ac:dyDescent="0.3">
      <c r="B120" s="3"/>
      <c r="C120" s="11">
        <v>44505</v>
      </c>
      <c r="D120" s="7">
        <v>-1.6389999999999998E-2</v>
      </c>
      <c r="E120" s="7">
        <v>1.8190000000000001E-2</v>
      </c>
      <c r="H120" s="3"/>
      <c r="I120" s="11">
        <v>44505</v>
      </c>
      <c r="J120" s="7">
        <v>-2.98E-2</v>
      </c>
      <c r="K120" s="7">
        <v>9.1999999999999998E-3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2:21" x14ac:dyDescent="0.3">
      <c r="B121" s="3"/>
      <c r="C121" s="11">
        <v>44512</v>
      </c>
      <c r="D121" s="7">
        <v>3.8280000000000002E-2</v>
      </c>
      <c r="E121" s="7">
        <v>-1.8600000000000001E-3</v>
      </c>
      <c r="H121" s="3"/>
      <c r="I121" s="11">
        <v>44512</v>
      </c>
      <c r="J121" s="7">
        <v>3.1199999999999999E-2</v>
      </c>
      <c r="K121" s="7">
        <v>6.0000000000000001E-3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2:21" x14ac:dyDescent="0.3">
      <c r="B122" s="3"/>
      <c r="C122" s="11">
        <v>44519</v>
      </c>
      <c r="D122" s="7">
        <v>-2.1260000000000001E-2</v>
      </c>
      <c r="E122" s="7">
        <v>-6.2500000000000003E-3</v>
      </c>
      <c r="H122" s="3"/>
      <c r="I122" s="11">
        <v>44519</v>
      </c>
      <c r="J122" s="7">
        <v>-2.3599999999999999E-2</v>
      </c>
      <c r="K122" s="7">
        <v>-1.6899999999999998E-2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2:21" x14ac:dyDescent="0.3">
      <c r="B123" s="3"/>
      <c r="C123" s="11">
        <v>44526</v>
      </c>
      <c r="D123" s="7">
        <v>4.6649999999999997E-2</v>
      </c>
      <c r="E123" s="7">
        <v>-1.585E-2</v>
      </c>
      <c r="H123" s="3"/>
      <c r="I123" s="11">
        <v>44526</v>
      </c>
      <c r="J123" s="7">
        <v>1.9599999999999999E-2</v>
      </c>
      <c r="K123" s="7">
        <v>-2.4899999999999999E-2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2:21" x14ac:dyDescent="0.3">
      <c r="B124" s="3"/>
      <c r="C124" s="10" t="s">
        <v>88</v>
      </c>
      <c r="D124" s="7">
        <v>1.1220000000000001E-2</v>
      </c>
      <c r="E124" s="7">
        <v>-5.2300000000000003E-3</v>
      </c>
      <c r="H124" s="3"/>
      <c r="I124" s="10" t="s">
        <v>88</v>
      </c>
      <c r="J124" s="7">
        <v>7.9000000000000008E-3</v>
      </c>
      <c r="K124" s="7">
        <v>1.11E-2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2:21" x14ac:dyDescent="0.3">
      <c r="B125" s="3"/>
      <c r="C125" s="10" t="s">
        <v>89</v>
      </c>
      <c r="D125" s="7">
        <v>3.2499999999999999E-3</v>
      </c>
      <c r="E125" s="7">
        <v>1.5509999999999999E-2</v>
      </c>
      <c r="H125" s="3"/>
      <c r="I125" s="10" t="s">
        <v>89</v>
      </c>
      <c r="J125" s="7">
        <v>3.8300000000000001E-2</v>
      </c>
      <c r="K125" s="7">
        <v>2.3800000000000002E-2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2:21" x14ac:dyDescent="0.3">
      <c r="B126" s="3"/>
      <c r="C126" s="10" t="s">
        <v>90</v>
      </c>
      <c r="D126" s="7">
        <v>2.264E-2</v>
      </c>
      <c r="E126" s="7">
        <v>-6.7299999999999999E-3</v>
      </c>
      <c r="H126" s="3"/>
      <c r="I126" s="10" t="s">
        <v>90</v>
      </c>
      <c r="J126" s="7">
        <v>2.5700000000000001E-2</v>
      </c>
      <c r="K126" s="7">
        <v>-3.0000000000000001E-3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2:21" x14ac:dyDescent="0.3">
      <c r="B127" s="3"/>
      <c r="C127" s="10" t="s">
        <v>91</v>
      </c>
      <c r="D127" s="7">
        <v>1.1220000000000001E-2</v>
      </c>
      <c r="E127" s="7">
        <v>1.592E-2</v>
      </c>
      <c r="H127" s="3"/>
      <c r="I127" s="10" t="s">
        <v>91</v>
      </c>
      <c r="J127" s="7">
        <v>-1.9E-3</v>
      </c>
      <c r="K127" s="7">
        <v>1.41E-2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2:21" x14ac:dyDescent="0.3">
      <c r="B128" s="3"/>
      <c r="C128" s="10" t="s">
        <v>92</v>
      </c>
      <c r="D128" s="7">
        <v>1.0189999999999999E-2</v>
      </c>
      <c r="E128" s="7">
        <v>3.2699999999999999E-3</v>
      </c>
      <c r="H128" s="3"/>
      <c r="I128" s="10" t="s">
        <v>92</v>
      </c>
      <c r="J128" s="7">
        <v>5.1999999999999998E-3</v>
      </c>
      <c r="K128" s="7">
        <v>1.6999999999999999E-3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2:21" x14ac:dyDescent="0.3">
      <c r="B129" s="3"/>
      <c r="C129" s="10" t="s">
        <v>93</v>
      </c>
      <c r="D129" s="7">
        <v>3.5159999999999997E-2</v>
      </c>
      <c r="E129" s="7">
        <v>1.17E-3</v>
      </c>
      <c r="H129" s="3"/>
      <c r="I129" s="10" t="s">
        <v>93</v>
      </c>
      <c r="J129" s="7">
        <v>6.54E-2</v>
      </c>
      <c r="K129" s="7">
        <v>1.3599999999999999E-2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2:21" x14ac:dyDescent="0.3">
      <c r="B130" s="3"/>
      <c r="C130" s="10" t="s">
        <v>94</v>
      </c>
      <c r="D130" s="7">
        <v>6.726E-2</v>
      </c>
      <c r="E130" s="7">
        <v>-7.9699999999999997E-3</v>
      </c>
      <c r="H130" s="3"/>
      <c r="I130" s="10" t="s">
        <v>94</v>
      </c>
      <c r="J130" s="7">
        <v>3.4500000000000003E-2</v>
      </c>
      <c r="K130" s="7">
        <v>7.7000000000000002E-3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2:21" x14ac:dyDescent="0.3">
      <c r="B131" s="3"/>
      <c r="C131" s="10" t="s">
        <v>95</v>
      </c>
      <c r="D131" s="7">
        <v>-1.7000000000000001E-2</v>
      </c>
      <c r="E131" s="7">
        <v>-2.9499999999999998E-2</v>
      </c>
      <c r="H131" s="3"/>
      <c r="I131" s="10" t="s">
        <v>95</v>
      </c>
      <c r="J131" s="7">
        <v>1.21E-2</v>
      </c>
      <c r="K131" s="7">
        <v>-6.4999999999999997E-3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2:21" x14ac:dyDescent="0.3">
      <c r="B132" s="3"/>
      <c r="C132" s="10" t="s">
        <v>96</v>
      </c>
      <c r="D132" s="7">
        <v>4.6359999999999998E-2</v>
      </c>
      <c r="E132" s="7">
        <v>-2.6159999999999999E-2</v>
      </c>
      <c r="H132" s="3"/>
      <c r="I132" s="10" t="s">
        <v>96</v>
      </c>
      <c r="J132" s="7">
        <v>-1.2999999999999999E-2</v>
      </c>
      <c r="K132" s="7">
        <v>-3.7000000000000002E-3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2:21" x14ac:dyDescent="0.3">
      <c r="B133" s="3"/>
      <c r="C133" s="11">
        <v>44596</v>
      </c>
      <c r="D133" s="7">
        <v>7.4700000000000001E-3</v>
      </c>
      <c r="E133" s="7">
        <v>1.89E-2</v>
      </c>
      <c r="H133" s="3"/>
      <c r="I133" s="11">
        <v>44596</v>
      </c>
      <c r="J133" s="7">
        <v>-3.5000000000000001E-3</v>
      </c>
      <c r="K133" s="7">
        <v>6.7000000000000002E-3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2:21" x14ac:dyDescent="0.3">
      <c r="B134" s="3"/>
      <c r="C134" s="11">
        <v>44603</v>
      </c>
      <c r="D134" s="7">
        <v>6.762E-2</v>
      </c>
      <c r="E134" s="7">
        <v>1.3639999999999999E-2</v>
      </c>
      <c r="H134" s="3"/>
      <c r="I134" s="11">
        <v>44603</v>
      </c>
      <c r="J134" s="7">
        <v>6.6900000000000001E-2</v>
      </c>
      <c r="K134" s="7">
        <v>1.9199999999999998E-2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2:21" x14ac:dyDescent="0.3">
      <c r="B135" s="3"/>
      <c r="C135" s="11">
        <v>44610</v>
      </c>
      <c r="D135" s="7">
        <v>-2.5420000000000002E-2</v>
      </c>
      <c r="E135" s="7">
        <v>6.0999999999999997E-4</v>
      </c>
      <c r="H135" s="3"/>
      <c r="I135" s="11">
        <v>44610</v>
      </c>
      <c r="J135" s="7">
        <v>-1.21E-2</v>
      </c>
      <c r="K135" s="7">
        <v>-1.9199999999999998E-2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2:21" x14ac:dyDescent="0.3">
      <c r="B136" s="3"/>
      <c r="C136" s="11">
        <v>44617</v>
      </c>
      <c r="D136" s="7">
        <v>-3.95E-2</v>
      </c>
      <c r="E136" s="7">
        <v>-3.1E-2</v>
      </c>
      <c r="H136" s="3"/>
      <c r="I136" s="11">
        <v>44617</v>
      </c>
      <c r="J136" s="7">
        <v>1.8E-3</v>
      </c>
      <c r="K136" s="7">
        <v>-3.2000000000000002E-3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2:21" x14ac:dyDescent="0.3">
      <c r="B137" s="3"/>
      <c r="C137" s="11">
        <v>44624</v>
      </c>
      <c r="D137" s="7">
        <v>0.10494000000000001</v>
      </c>
      <c r="E137" s="7">
        <v>1.6150000000000001E-2</v>
      </c>
      <c r="H137" s="3"/>
      <c r="I137" s="11">
        <v>44624</v>
      </c>
      <c r="J137" s="7">
        <v>6.3700000000000007E-2</v>
      </c>
      <c r="K137" s="7">
        <v>-6.7100000000000007E-2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2:21" x14ac:dyDescent="0.3">
      <c r="B138" s="3"/>
      <c r="C138" s="11">
        <v>44631</v>
      </c>
      <c r="D138" s="7">
        <v>-0.11105</v>
      </c>
      <c r="E138" s="7">
        <v>-6.6400000000000001E-3</v>
      </c>
      <c r="H138" s="3"/>
      <c r="I138" s="11">
        <v>44631</v>
      </c>
      <c r="J138" s="7">
        <v>-6.9699999999999998E-2</v>
      </c>
      <c r="K138" s="7">
        <v>2.41E-2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2:21" x14ac:dyDescent="0.3">
      <c r="B139" s="3"/>
      <c r="C139" s="11">
        <v>44638</v>
      </c>
      <c r="D139" s="7">
        <v>-1.218E-2</v>
      </c>
      <c r="E139" s="7">
        <v>3.2669999999999998E-2</v>
      </c>
      <c r="H139" s="3"/>
      <c r="I139" s="11">
        <v>44638</v>
      </c>
      <c r="J139" s="7">
        <v>1.0200000000000001E-2</v>
      </c>
      <c r="K139" s="7">
        <v>3.4799999999999998E-2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2:21" x14ac:dyDescent="0.3">
      <c r="B140" s="3"/>
      <c r="C140" s="11">
        <v>44645</v>
      </c>
      <c r="D140" s="7">
        <v>5.9180000000000003E-2</v>
      </c>
      <c r="E140" s="7">
        <v>1.533E-2</v>
      </c>
      <c r="H140" s="3"/>
      <c r="I140" s="11">
        <v>44645</v>
      </c>
      <c r="J140" s="7">
        <v>5.4100000000000002E-2</v>
      </c>
      <c r="K140" s="7">
        <v>1.06E-2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2:21" x14ac:dyDescent="0.3">
      <c r="B141" s="3"/>
      <c r="C141" s="11">
        <v>44652</v>
      </c>
      <c r="D141" s="7">
        <v>2.9690000000000001E-2</v>
      </c>
      <c r="E141" s="7">
        <v>1.183E-2</v>
      </c>
      <c r="H141" s="3"/>
      <c r="I141" s="11">
        <v>44652</v>
      </c>
      <c r="J141" s="7">
        <v>5.0599999999999999E-2</v>
      </c>
      <c r="K141" s="7">
        <v>7.3000000000000001E-3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2:21" x14ac:dyDescent="0.3">
      <c r="B142" s="3"/>
      <c r="C142" s="11">
        <v>44659</v>
      </c>
      <c r="D142" s="7">
        <v>-1.1299999999999999E-2</v>
      </c>
      <c r="E142" s="7">
        <v>-2.1099999999999999E-3</v>
      </c>
      <c r="H142" s="3"/>
      <c r="I142" s="11">
        <v>44659</v>
      </c>
      <c r="J142" s="7">
        <v>-1.4E-2</v>
      </c>
      <c r="K142" s="7">
        <v>1.7500000000000002E-2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2:21" x14ac:dyDescent="0.3">
      <c r="B143" s="3"/>
      <c r="C143" s="11">
        <v>44666</v>
      </c>
      <c r="D143" s="7">
        <v>1.311E-2</v>
      </c>
      <c r="E143" s="7">
        <v>6.0699999999999999E-3</v>
      </c>
      <c r="H143" s="3"/>
      <c r="I143" s="11">
        <v>44666</v>
      </c>
      <c r="J143" s="7">
        <v>1.21E-2</v>
      </c>
      <c r="K143" s="7">
        <v>-6.8999999999999999E-3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2:21" x14ac:dyDescent="0.3">
      <c r="B144" s="3"/>
      <c r="C144" s="11">
        <v>44673</v>
      </c>
      <c r="D144" s="7">
        <v>-5.7570000000000003E-2</v>
      </c>
      <c r="E144" s="7">
        <v>-6.6600000000000001E-3</v>
      </c>
      <c r="H144" s="3"/>
      <c r="I144" s="11">
        <v>44673</v>
      </c>
      <c r="J144" s="7">
        <v>-8.8200000000000001E-2</v>
      </c>
      <c r="K144" s="7">
        <v>-1.24E-2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2:21" x14ac:dyDescent="0.3">
      <c r="B145" s="3"/>
      <c r="C145" s="11">
        <v>44680</v>
      </c>
      <c r="D145" s="7">
        <v>-6.7799999999999996E-3</v>
      </c>
      <c r="E145" s="7">
        <v>-5.1200000000000004E-3</v>
      </c>
      <c r="H145" s="3"/>
      <c r="I145" s="11">
        <v>44680</v>
      </c>
      <c r="J145" s="7">
        <v>7.4000000000000003E-3</v>
      </c>
      <c r="K145" s="7">
        <v>3.0000000000000001E-3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2:21" x14ac:dyDescent="0.3">
      <c r="B146" s="3"/>
      <c r="C146" s="10" t="s">
        <v>97</v>
      </c>
      <c r="D146" s="7">
        <v>-3.1640000000000001E-2</v>
      </c>
      <c r="E146" s="7">
        <v>-3.0849999999999999E-2</v>
      </c>
      <c r="H146" s="3"/>
      <c r="I146" s="10" t="s">
        <v>97</v>
      </c>
      <c r="J146" s="7">
        <v>-4.6600000000000003E-2</v>
      </c>
      <c r="K146" s="7">
        <v>-2.0799999999999999E-2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2:21" x14ac:dyDescent="0.3">
      <c r="B147" s="3"/>
      <c r="C147" s="10" t="s">
        <v>98</v>
      </c>
      <c r="D147" s="7">
        <v>-3.3590000000000002E-2</v>
      </c>
      <c r="E147" s="7">
        <v>-1.8110000000000001E-2</v>
      </c>
      <c r="H147" s="3"/>
      <c r="I147" s="10" t="s">
        <v>98</v>
      </c>
      <c r="J147" s="7">
        <v>-2.2100000000000002E-2</v>
      </c>
      <c r="K147" s="7">
        <v>4.1000000000000003E-3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2:21" x14ac:dyDescent="0.3">
      <c r="B148" s="3"/>
      <c r="C148" s="10" t="s">
        <v>99</v>
      </c>
      <c r="D148" s="7">
        <v>2.614E-2</v>
      </c>
      <c r="E148" s="7">
        <v>9.9600000000000001E-3</v>
      </c>
      <c r="H148" s="3"/>
      <c r="I148" s="10" t="s">
        <v>99</v>
      </c>
      <c r="J148" s="7">
        <v>2.4199999999999999E-2</v>
      </c>
      <c r="K148" s="7">
        <v>-3.8E-3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2:21" x14ac:dyDescent="0.3">
      <c r="B149" s="3"/>
      <c r="C149" s="10" t="s">
        <v>100</v>
      </c>
      <c r="D149" s="7">
        <v>4.6519999999999999E-2</v>
      </c>
      <c r="E149" s="7">
        <v>5.1900000000000002E-3</v>
      </c>
      <c r="H149" s="3"/>
      <c r="I149" s="10" t="s">
        <v>100</v>
      </c>
      <c r="J149" s="7">
        <v>4.6399999999999997E-2</v>
      </c>
      <c r="K149" s="7">
        <v>2.6499999999999999E-2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2:21" x14ac:dyDescent="0.3">
      <c r="B150" s="3"/>
      <c r="C150" s="10" t="s">
        <v>101</v>
      </c>
      <c r="D150" s="7">
        <v>2.3279999999999999E-2</v>
      </c>
      <c r="E150" s="7">
        <v>7.8100000000000001E-3</v>
      </c>
      <c r="H150" s="3"/>
      <c r="I150" s="10" t="s">
        <v>101</v>
      </c>
      <c r="J150" s="7">
        <v>9.7999999999999997E-3</v>
      </c>
      <c r="K150" s="7">
        <v>-6.8999999999999999E-3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2:21" x14ac:dyDescent="0.3">
      <c r="B151" s="3"/>
      <c r="C151" s="10" t="s">
        <v>102</v>
      </c>
      <c r="D151" s="7">
        <v>-1.1199999999999999E-3</v>
      </c>
      <c r="E151" s="7">
        <v>-4.2380000000000001E-2</v>
      </c>
      <c r="H151" s="3"/>
      <c r="I151" s="10" t="s">
        <v>102</v>
      </c>
      <c r="J151" s="7">
        <v>-1.18E-2</v>
      </c>
      <c r="K151" s="7">
        <v>-2.86E-2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2:21" x14ac:dyDescent="0.3">
      <c r="B152" s="3"/>
      <c r="C152" s="10" t="s">
        <v>103</v>
      </c>
      <c r="D152" s="7">
        <v>-7.6700000000000004E-2</v>
      </c>
      <c r="E152" s="7">
        <v>-6.5949999999999995E-2</v>
      </c>
      <c r="H152" s="3"/>
      <c r="I152" s="10" t="s">
        <v>103</v>
      </c>
      <c r="J152" s="7">
        <v>-9.0200000000000002E-2</v>
      </c>
      <c r="K152" s="7">
        <v>-4.1200000000000001E-2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2:21" x14ac:dyDescent="0.3">
      <c r="B153" s="3"/>
      <c r="C153" s="10" t="s">
        <v>104</v>
      </c>
      <c r="D153" s="7">
        <v>-5.2429999999999997E-2</v>
      </c>
      <c r="E153" s="7">
        <v>1.6049999999999998E-2</v>
      </c>
      <c r="H153" s="3"/>
      <c r="I153" s="10" t="s">
        <v>104</v>
      </c>
      <c r="J153" s="7">
        <v>-3.8199999999999998E-2</v>
      </c>
      <c r="K153" s="7">
        <v>2.7400000000000001E-2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2:21" x14ac:dyDescent="0.3">
      <c r="B154" s="3"/>
      <c r="C154" s="10" t="s">
        <v>105</v>
      </c>
      <c r="D154" s="7">
        <v>-1.0449999999999999E-2</v>
      </c>
      <c r="E154" s="7">
        <v>-5.8999999999999999E-3</v>
      </c>
      <c r="H154" s="3"/>
      <c r="I154" s="10" t="s">
        <v>105</v>
      </c>
      <c r="J154" s="7">
        <v>-2.9000000000000001E-2</v>
      </c>
      <c r="K154" s="7">
        <v>-5.5999999999999999E-3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2:21" x14ac:dyDescent="0.3">
      <c r="B155" s="3"/>
      <c r="C155" s="10" t="s">
        <v>106</v>
      </c>
      <c r="D155" s="7">
        <v>-2.9000000000000001E-2</v>
      </c>
      <c r="E155" s="7">
        <v>2.112E-2</v>
      </c>
      <c r="H155" s="3"/>
      <c r="I155" s="10" t="s">
        <v>106</v>
      </c>
      <c r="J155" s="7">
        <v>1E-4</v>
      </c>
      <c r="K155" s="7">
        <v>3.8E-3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2:21" x14ac:dyDescent="0.3">
      <c r="B156" s="3"/>
      <c r="C156" s="10" t="s">
        <v>107</v>
      </c>
      <c r="D156" s="7">
        <v>-4.2700000000000002E-2</v>
      </c>
      <c r="E156" s="7">
        <v>-1.0840000000000001E-2</v>
      </c>
      <c r="H156" s="3"/>
      <c r="I156" s="10" t="s">
        <v>107</v>
      </c>
      <c r="J156" s="7">
        <v>-5.2900000000000003E-2</v>
      </c>
      <c r="K156" s="7">
        <v>-5.1999999999999998E-3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2:21" x14ac:dyDescent="0.3">
      <c r="B157" s="3"/>
      <c r="C157" s="10" t="s">
        <v>108</v>
      </c>
      <c r="D157" s="7">
        <v>3.2059999999999998E-2</v>
      </c>
      <c r="E157" s="7">
        <v>2.8139999999999998E-2</v>
      </c>
      <c r="H157" s="3"/>
      <c r="I157" s="10" t="s">
        <v>108</v>
      </c>
      <c r="J157" s="7">
        <v>4.2099999999999999E-2</v>
      </c>
      <c r="K157" s="7">
        <v>1.6400000000000001E-2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2:21" x14ac:dyDescent="0.3">
      <c r="B158" s="3"/>
      <c r="C158" s="10" t="s">
        <v>109</v>
      </c>
      <c r="D158" s="7">
        <v>1.6310000000000002E-2</v>
      </c>
      <c r="E158" s="7">
        <v>2.2630000000000001E-2</v>
      </c>
      <c r="H158" s="3"/>
      <c r="I158" s="10" t="s">
        <v>109</v>
      </c>
      <c r="J158" s="7">
        <v>3.2000000000000001E-2</v>
      </c>
      <c r="K158" s="7">
        <v>2.0199999999999999E-2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2:21" x14ac:dyDescent="0.3">
      <c r="B159" s="3"/>
      <c r="C159" s="10" t="s">
        <v>110</v>
      </c>
      <c r="D159" s="7">
        <v>-9.2000000000000003E-4</v>
      </c>
      <c r="E159" s="7">
        <v>1.014E-2</v>
      </c>
      <c r="H159" s="3"/>
      <c r="I159" s="10" t="s">
        <v>110</v>
      </c>
      <c r="J159" s="7">
        <v>5.9999999999999995E-4</v>
      </c>
      <c r="K159" s="7">
        <v>2.2000000000000001E-3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2:21" x14ac:dyDescent="0.3">
      <c r="B160" s="3"/>
      <c r="C160" s="10" t="s">
        <v>111</v>
      </c>
      <c r="D160" s="7">
        <v>-2.384E-2</v>
      </c>
      <c r="E160" s="7">
        <v>2.4099999999999998E-3</v>
      </c>
      <c r="H160" s="3"/>
      <c r="I160" s="10" t="s">
        <v>111</v>
      </c>
      <c r="J160" s="7">
        <v>-1.6899999999999998E-2</v>
      </c>
      <c r="K160" s="7">
        <v>8.2000000000000007E-3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2:21" x14ac:dyDescent="0.3">
      <c r="B161" s="3"/>
      <c r="C161" s="10" t="s">
        <v>112</v>
      </c>
      <c r="D161" s="7">
        <v>3.27E-2</v>
      </c>
      <c r="E161" s="7">
        <v>1.166E-2</v>
      </c>
      <c r="H161" s="3"/>
      <c r="I161" s="10" t="s">
        <v>112</v>
      </c>
      <c r="J161" s="7">
        <v>1.3899999999999999E-2</v>
      </c>
      <c r="K161" s="7">
        <v>6.6E-3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2:21" x14ac:dyDescent="0.3">
      <c r="B162" s="3"/>
      <c r="C162" s="10" t="s">
        <v>113</v>
      </c>
      <c r="D162" s="7">
        <v>1.32E-3</v>
      </c>
      <c r="E162" s="7">
        <v>-1.4599999999999999E-3</v>
      </c>
      <c r="H162" s="3"/>
      <c r="I162" s="10" t="s">
        <v>113</v>
      </c>
      <c r="J162" s="7">
        <v>1.3899999999999999E-2</v>
      </c>
      <c r="K162" s="7">
        <v>-1.6299999999999999E-2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2:21" x14ac:dyDescent="0.3">
      <c r="B163" s="3"/>
      <c r="C163" s="10" t="s">
        <v>114</v>
      </c>
      <c r="D163" s="7">
        <v>-8.5849999999999996E-2</v>
      </c>
      <c r="E163" s="7">
        <v>-3.8769999999999999E-2</v>
      </c>
      <c r="H163" s="3"/>
      <c r="I163" s="10" t="s">
        <v>114</v>
      </c>
      <c r="J163" s="7">
        <v>-5.6099999999999997E-2</v>
      </c>
      <c r="K163" s="7">
        <v>-1.9699999999999999E-2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2:21" x14ac:dyDescent="0.3">
      <c r="B164" s="3"/>
      <c r="C164" s="10" t="s">
        <v>115</v>
      </c>
      <c r="D164" s="7">
        <v>4.6240000000000003E-2</v>
      </c>
      <c r="E164" s="7">
        <v>9.5899999999999996E-3</v>
      </c>
      <c r="H164" s="3"/>
      <c r="I164" s="10" t="s">
        <v>115</v>
      </c>
      <c r="J164" s="7">
        <v>3.39E-2</v>
      </c>
      <c r="K164" s="7">
        <v>9.5999999999999992E-3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2:21" x14ac:dyDescent="0.3">
      <c r="B165" s="3"/>
      <c r="C165" s="10" t="s">
        <v>116</v>
      </c>
      <c r="D165" s="7">
        <v>-2.0240000000000001E-2</v>
      </c>
      <c r="E165" s="7">
        <v>-2.2499999999999999E-2</v>
      </c>
      <c r="H165" s="3"/>
      <c r="I165" s="10" t="s">
        <v>116</v>
      </c>
      <c r="J165" s="7">
        <v>-1.5299999999999999E-2</v>
      </c>
      <c r="K165" s="7">
        <v>-1.5599999999999999E-2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2:21" x14ac:dyDescent="0.3">
      <c r="B166" s="3"/>
      <c r="C166" s="10" t="s">
        <v>117</v>
      </c>
      <c r="D166" s="7">
        <v>5.9500000000000004E-3</v>
      </c>
      <c r="E166" s="7">
        <v>-2.4389999999999998E-2</v>
      </c>
      <c r="H166" s="3"/>
      <c r="I166" s="10" t="s">
        <v>117</v>
      </c>
      <c r="J166" s="7">
        <v>-2.2599999999999999E-2</v>
      </c>
      <c r="K166" s="7">
        <v>-3.0099999999999998E-2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2:21" x14ac:dyDescent="0.3">
      <c r="B167" s="3"/>
      <c r="C167" s="10" t="s">
        <v>118</v>
      </c>
      <c r="D167" s="7">
        <v>4.1900000000000001E-3</v>
      </c>
      <c r="E167" s="7">
        <v>-1.529E-2</v>
      </c>
      <c r="H167" s="3"/>
      <c r="I167" s="10" t="s">
        <v>118</v>
      </c>
      <c r="J167" s="7">
        <v>4.6699999999999998E-2</v>
      </c>
      <c r="K167" s="7">
        <v>-1.78E-2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2:21" x14ac:dyDescent="0.3">
      <c r="B168" s="3"/>
      <c r="C168" s="10" t="s">
        <v>119</v>
      </c>
      <c r="D168" s="7">
        <v>3.5119999999999998E-2</v>
      </c>
      <c r="E168" s="7">
        <v>4.4580000000000002E-2</v>
      </c>
      <c r="H168" s="3"/>
      <c r="I168" s="10" t="s">
        <v>119</v>
      </c>
      <c r="J168" s="7">
        <v>3.4700000000000002E-2</v>
      </c>
      <c r="K168" s="7">
        <v>1.41E-2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2:21" x14ac:dyDescent="0.3">
      <c r="B169" s="3"/>
      <c r="C169" s="10" t="s">
        <v>120</v>
      </c>
      <c r="D169" s="7">
        <v>-6.2E-4</v>
      </c>
      <c r="E169" s="7">
        <v>-5.9000000000000003E-4</v>
      </c>
      <c r="H169" s="3"/>
      <c r="I169" s="10" t="s">
        <v>120</v>
      </c>
      <c r="J169" s="7">
        <v>-6.2100000000000002E-2</v>
      </c>
      <c r="K169" s="7">
        <v>-1.89E-2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2:21" x14ac:dyDescent="0.3">
      <c r="B170" s="3"/>
      <c r="C170" s="10" t="s">
        <v>121</v>
      </c>
      <c r="D170" s="7">
        <v>-5.289E-2</v>
      </c>
      <c r="E170" s="7">
        <v>-1.213E-2</v>
      </c>
      <c r="H170" s="3"/>
      <c r="I170" s="10" t="s">
        <v>121</v>
      </c>
      <c r="J170" s="7">
        <v>1.1299999999999999E-2</v>
      </c>
      <c r="K170" s="7">
        <v>1.6199999999999999E-2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2:21" x14ac:dyDescent="0.3">
      <c r="B171" s="3"/>
      <c r="C171" s="10" t="s">
        <v>122</v>
      </c>
      <c r="D171" s="7">
        <v>-3.2239999999999998E-2</v>
      </c>
      <c r="E171" s="7">
        <v>1.6310000000000002E-2</v>
      </c>
      <c r="H171" s="3"/>
      <c r="I171" s="10" t="s">
        <v>122</v>
      </c>
      <c r="J171" s="7">
        <v>-6.6400000000000001E-2</v>
      </c>
      <c r="K171" s="7">
        <v>1.12E-2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2:21" x14ac:dyDescent="0.3">
      <c r="B172" s="3"/>
      <c r="C172" s="11">
        <v>44869</v>
      </c>
      <c r="D172" s="7">
        <v>4.8000000000000001E-2</v>
      </c>
      <c r="E172" s="7">
        <v>1.5740000000000001E-2</v>
      </c>
      <c r="H172" s="3"/>
      <c r="I172" s="11">
        <v>44869</v>
      </c>
      <c r="J172" s="7">
        <v>0.12130000000000001</v>
      </c>
      <c r="K172" s="7">
        <v>4.07E-2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2:21" x14ac:dyDescent="0.3">
      <c r="B173" s="3"/>
      <c r="C173" s="11">
        <v>44876</v>
      </c>
      <c r="D173" s="7">
        <v>0.10593</v>
      </c>
      <c r="E173" s="7">
        <v>3.8519999999999999E-2</v>
      </c>
      <c r="H173" s="3"/>
      <c r="I173" s="11">
        <v>44876</v>
      </c>
      <c r="J173" s="7">
        <v>7.3200000000000001E-2</v>
      </c>
      <c r="K173" s="7">
        <v>-2.3E-3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2:21" x14ac:dyDescent="0.3">
      <c r="B174" s="3"/>
      <c r="C174" s="11">
        <v>44883</v>
      </c>
      <c r="D174" s="7">
        <v>3.6540000000000003E-2</v>
      </c>
      <c r="E174" s="7">
        <v>-8.7000000000000001E-4</v>
      </c>
      <c r="H174" s="3"/>
      <c r="I174" s="11">
        <v>44883</v>
      </c>
      <c r="J174" s="7">
        <v>-2.3999999999999998E-3</v>
      </c>
      <c r="K174" s="7">
        <v>9.1999999999999998E-3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2:21" x14ac:dyDescent="0.3">
      <c r="B175" s="3"/>
      <c r="C175" s="11">
        <v>44890</v>
      </c>
      <c r="D175" s="7">
        <v>-6.8599999999999998E-3</v>
      </c>
      <c r="E175" s="7">
        <v>1.506E-2</v>
      </c>
      <c r="H175" s="3"/>
      <c r="I175" s="11">
        <v>44890</v>
      </c>
      <c r="J175" s="7">
        <v>-1.1000000000000001E-3</v>
      </c>
      <c r="K175" s="7">
        <v>1.37E-2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2:21" x14ac:dyDescent="0.3">
      <c r="B176" s="3"/>
      <c r="C176" s="10" t="s">
        <v>123</v>
      </c>
      <c r="D176" s="7">
        <v>5.9540000000000003E-2</v>
      </c>
      <c r="E176" s="7">
        <v>5.79E-3</v>
      </c>
      <c r="H176" s="3"/>
      <c r="I176" s="10" t="s">
        <v>123</v>
      </c>
      <c r="J176" s="7">
        <v>3.8100000000000002E-2</v>
      </c>
      <c r="K176" s="7">
        <v>9.2999999999999992E-3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2:21" x14ac:dyDescent="0.3">
      <c r="B177" s="3"/>
      <c r="C177" s="10" t="s">
        <v>124</v>
      </c>
      <c r="D177" s="7">
        <v>4.6629999999999998E-2</v>
      </c>
      <c r="E177" s="7">
        <v>-1.209E-2</v>
      </c>
      <c r="H177" s="3"/>
      <c r="I177" s="10" t="s">
        <v>124</v>
      </c>
      <c r="J177" s="7">
        <v>4.4900000000000002E-2</v>
      </c>
      <c r="K177" s="7">
        <v>-1.0500000000000001E-2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2:21" x14ac:dyDescent="0.3">
      <c r="B178" s="3"/>
      <c r="C178" s="10" t="s">
        <v>125</v>
      </c>
      <c r="D178" s="7">
        <v>-2.2280000000000001E-2</v>
      </c>
      <c r="E178" s="7">
        <v>-8.94E-3</v>
      </c>
      <c r="H178" s="3"/>
      <c r="I178" s="10" t="s">
        <v>125</v>
      </c>
      <c r="J178" s="7">
        <v>-3.8199999999999998E-2</v>
      </c>
      <c r="K178" s="7">
        <v>-1.9300000000000001E-2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2:21" x14ac:dyDescent="0.3">
      <c r="B179" s="3"/>
      <c r="C179" s="10" t="s">
        <v>126</v>
      </c>
      <c r="D179" s="7">
        <v>7.6800000000000002E-3</v>
      </c>
      <c r="E179" s="7">
        <v>-5.7400000000000003E-3</v>
      </c>
      <c r="H179" s="3"/>
      <c r="I179" s="10" t="s">
        <v>126</v>
      </c>
      <c r="J179" s="7">
        <v>3.49E-2</v>
      </c>
      <c r="K179" s="7">
        <v>1.9199999999999998E-2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2:21" x14ac:dyDescent="0.3">
      <c r="B180" s="3"/>
      <c r="C180" s="10" t="s">
        <v>127</v>
      </c>
      <c r="D180" s="7">
        <v>8.4899999999999993E-3</v>
      </c>
      <c r="E180" s="7">
        <v>-9.7099999999999999E-3</v>
      </c>
      <c r="H180" s="3"/>
      <c r="I180" s="10" t="s">
        <v>127</v>
      </c>
      <c r="J180" s="7">
        <v>-1.6999999999999999E-3</v>
      </c>
      <c r="K180" s="7">
        <v>-2.8E-3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2:21" x14ac:dyDescent="0.3">
      <c r="B181" s="3"/>
      <c r="C181" s="10" t="s">
        <v>128</v>
      </c>
      <c r="D181" s="7">
        <v>2.7660000000000001E-2</v>
      </c>
      <c r="E181" s="7">
        <v>1.0070000000000001E-2</v>
      </c>
      <c r="H181" s="3"/>
      <c r="I181" s="10" t="s">
        <v>128</v>
      </c>
      <c r="J181" s="7">
        <v>4.48E-2</v>
      </c>
      <c r="K181" s="7">
        <v>3.32E-2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2:21" x14ac:dyDescent="0.3">
      <c r="B182" s="3"/>
      <c r="C182" s="10" t="s">
        <v>129</v>
      </c>
      <c r="D182" s="7">
        <v>2.2239999999999999E-2</v>
      </c>
      <c r="E182" s="7">
        <v>3.073E-2</v>
      </c>
      <c r="H182" s="3"/>
      <c r="I182" s="10" t="s">
        <v>129</v>
      </c>
      <c r="J182" s="7">
        <v>2.6599999999999999E-2</v>
      </c>
      <c r="K182" s="7">
        <v>1.8800000000000001E-2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2:21" x14ac:dyDescent="0.3">
      <c r="B183" s="3"/>
      <c r="C183" s="10" t="s">
        <v>130</v>
      </c>
      <c r="D183" s="7">
        <v>4.0149999999999998E-2</v>
      </c>
      <c r="E183" s="7">
        <v>1.6930000000000001E-2</v>
      </c>
      <c r="H183" s="3"/>
      <c r="I183" s="10" t="s">
        <v>130</v>
      </c>
      <c r="J183" s="7">
        <v>-1E-3</v>
      </c>
      <c r="K183" s="7">
        <v>-9.4000000000000004E-3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2:21" x14ac:dyDescent="0.3">
      <c r="B184" s="3"/>
      <c r="C184" s="10" t="s">
        <v>131</v>
      </c>
      <c r="D184" s="7">
        <v>-1.81E-3</v>
      </c>
      <c r="E184" s="7">
        <v>5.5799999999999999E-3</v>
      </c>
      <c r="H184" s="3"/>
      <c r="I184" s="10" t="s">
        <v>131</v>
      </c>
      <c r="J184" s="7">
        <v>1.26E-2</v>
      </c>
      <c r="K184" s="7">
        <v>-6.9999999999999999E-4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2:21" x14ac:dyDescent="0.3">
      <c r="B185" s="3"/>
      <c r="C185" s="11">
        <v>44960</v>
      </c>
      <c r="D185" s="7">
        <v>-3.1739999999999997E-2</v>
      </c>
      <c r="E185" s="7">
        <v>8.5800000000000008E-3</v>
      </c>
      <c r="H185" s="3"/>
      <c r="I185" s="11">
        <v>44960</v>
      </c>
      <c r="J185" s="7">
        <v>-2.5899999999999999E-2</v>
      </c>
      <c r="K185" s="7">
        <v>1.7600000000000001E-2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2:21" x14ac:dyDescent="0.3">
      <c r="B186" s="3"/>
      <c r="C186" s="11">
        <v>44967</v>
      </c>
      <c r="D186" s="7">
        <v>-3.1700000000000001E-3</v>
      </c>
      <c r="E186" s="7">
        <v>-1.6459999999999999E-2</v>
      </c>
      <c r="H186" s="3"/>
      <c r="I186" s="11">
        <v>44967</v>
      </c>
      <c r="J186" s="7">
        <v>-2.63E-2</v>
      </c>
      <c r="K186" s="7">
        <v>-2.3999999999999998E-3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2:21" x14ac:dyDescent="0.3">
      <c r="B187" s="3"/>
      <c r="C187" s="11">
        <v>44974</v>
      </c>
      <c r="D187" s="7">
        <v>1.3950000000000001E-2</v>
      </c>
      <c r="E187" s="7">
        <v>-1.1690000000000001E-2</v>
      </c>
      <c r="H187" s="3"/>
      <c r="I187" s="11">
        <v>44974</v>
      </c>
      <c r="J187" s="7">
        <v>2.2800000000000001E-2</v>
      </c>
      <c r="K187" s="7">
        <v>1.55E-2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2:21" x14ac:dyDescent="0.3">
      <c r="B188" s="3"/>
      <c r="C188" s="11">
        <v>44981</v>
      </c>
      <c r="D188" s="7">
        <v>-4.2970000000000001E-2</v>
      </c>
      <c r="E188" s="7">
        <v>-5.4200000000000003E-3</v>
      </c>
      <c r="H188" s="3"/>
      <c r="I188" s="11">
        <v>44981</v>
      </c>
      <c r="J188" s="7">
        <v>-7.1400000000000005E-2</v>
      </c>
      <c r="K188" s="7">
        <v>-1.5699999999999999E-2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2:21" x14ac:dyDescent="0.3">
      <c r="B189" s="3"/>
      <c r="C189" s="11">
        <v>44988</v>
      </c>
      <c r="D189" s="7">
        <v>6.3149999999999998E-2</v>
      </c>
      <c r="E189" s="7">
        <v>-3.2000000000000002E-3</v>
      </c>
      <c r="H189" s="3"/>
      <c r="I189" s="11">
        <v>44988</v>
      </c>
      <c r="J189" s="7">
        <v>8.4199999999999997E-2</v>
      </c>
      <c r="K189" s="7">
        <v>8.6999999999999994E-3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2:21" x14ac:dyDescent="0.3">
      <c r="B190" s="3"/>
      <c r="C190" s="11">
        <v>44995</v>
      </c>
      <c r="D190" s="7">
        <v>-7.2370000000000004E-2</v>
      </c>
      <c r="E190" s="7">
        <v>-1.907E-2</v>
      </c>
      <c r="H190" s="3"/>
      <c r="I190" s="11">
        <v>44995</v>
      </c>
      <c r="J190" s="7">
        <v>-8.3000000000000004E-2</v>
      </c>
      <c r="K190" s="7">
        <v>-2.5000000000000001E-2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2:21" x14ac:dyDescent="0.3">
      <c r="B191" s="3"/>
      <c r="C191" s="11">
        <v>45002</v>
      </c>
      <c r="D191" s="7">
        <v>-2.1149999999999999E-2</v>
      </c>
      <c r="E191" s="7">
        <v>-2.0979999999999999E-2</v>
      </c>
      <c r="H191" s="3"/>
      <c r="I191" s="11">
        <v>45002</v>
      </c>
      <c r="J191" s="7">
        <v>-6.8199999999999997E-2</v>
      </c>
      <c r="K191" s="7">
        <v>-5.33E-2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2:21" x14ac:dyDescent="0.3">
      <c r="B192" s="3"/>
      <c r="C192" s="11">
        <v>45009</v>
      </c>
      <c r="D192" s="7">
        <v>-3.2200000000000002E-3</v>
      </c>
      <c r="E192" s="7">
        <v>-5.6600000000000001E-3</v>
      </c>
      <c r="H192" s="3"/>
      <c r="I192" s="11">
        <v>45009</v>
      </c>
      <c r="J192" s="7">
        <v>5.9999999999999995E-4</v>
      </c>
      <c r="K192" s="7">
        <v>9.4999999999999998E-3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2:21" x14ac:dyDescent="0.3">
      <c r="B193" s="3"/>
      <c r="C193" s="11">
        <v>45016</v>
      </c>
      <c r="D193" s="7">
        <v>4.99E-2</v>
      </c>
      <c r="E193" s="7">
        <v>3.2000000000000001E-2</v>
      </c>
      <c r="H193" s="3"/>
      <c r="I193" s="11">
        <v>45016</v>
      </c>
      <c r="J193" s="7">
        <v>4.2799999999999998E-2</v>
      </c>
      <c r="K193" s="7">
        <v>3.0599999999999999E-2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2:21" x14ac:dyDescent="0.3">
      <c r="B194" s="3"/>
      <c r="C194" s="11">
        <v>45023</v>
      </c>
      <c r="D194" s="7">
        <v>-3.1879999999999999E-2</v>
      </c>
      <c r="E194" s="7">
        <v>5.7400000000000003E-3</v>
      </c>
      <c r="H194" s="3"/>
      <c r="I194" s="11">
        <v>45023</v>
      </c>
      <c r="J194" s="7">
        <v>-3.3399999999999999E-2</v>
      </c>
      <c r="K194" s="7">
        <v>1.44E-2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2:21" x14ac:dyDescent="0.3">
      <c r="B195" s="3"/>
      <c r="C195" s="11">
        <v>45030</v>
      </c>
      <c r="D195" s="7">
        <v>3.9809999999999998E-2</v>
      </c>
      <c r="E195" s="7">
        <v>1.975E-2</v>
      </c>
      <c r="H195" s="3"/>
      <c r="I195" s="11">
        <v>45030</v>
      </c>
      <c r="J195" s="7">
        <v>3.15E-2</v>
      </c>
      <c r="K195" s="7">
        <v>1.6799999999999999E-2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2:21" x14ac:dyDescent="0.3">
      <c r="B196" s="3"/>
      <c r="C196" s="11">
        <v>45037</v>
      </c>
      <c r="D196" s="7">
        <v>-3.2579999999999998E-2</v>
      </c>
      <c r="E196" s="7">
        <v>-4.2399999999999998E-3</v>
      </c>
      <c r="H196" s="3"/>
      <c r="I196" s="11">
        <v>45037</v>
      </c>
      <c r="J196" s="7">
        <v>-6.0600000000000001E-2</v>
      </c>
      <c r="K196" s="7">
        <v>5.4000000000000003E-3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2:21" x14ac:dyDescent="0.3">
      <c r="B197" s="3"/>
      <c r="C197" s="11">
        <v>45044</v>
      </c>
      <c r="D197" s="7">
        <v>-4.0599999999999997E-2</v>
      </c>
      <c r="E197" s="7">
        <v>-2.8900000000000002E-3</v>
      </c>
      <c r="H197" s="3"/>
      <c r="I197" s="11">
        <v>45044</v>
      </c>
      <c r="J197" s="7">
        <v>-1.6E-2</v>
      </c>
      <c r="K197" s="7">
        <v>-5.4999999999999997E-3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2:21" x14ac:dyDescent="0.3">
      <c r="B198" s="3"/>
      <c r="C198" s="10" t="s">
        <v>132</v>
      </c>
      <c r="D198" s="7">
        <v>-2.5659999999999999E-2</v>
      </c>
      <c r="E198" s="7">
        <v>-1.2200000000000001E-2</v>
      </c>
      <c r="H198" s="3"/>
      <c r="I198" s="10" t="s">
        <v>132</v>
      </c>
      <c r="J198" s="7">
        <v>-1.1299999999999999E-2</v>
      </c>
      <c r="K198" s="7">
        <v>-1.17E-2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2:21" x14ac:dyDescent="0.3">
      <c r="B199" s="3"/>
      <c r="C199" s="10" t="s">
        <v>133</v>
      </c>
      <c r="D199" s="7">
        <v>-1.289E-2</v>
      </c>
      <c r="E199" s="7">
        <v>5.0800000000000003E-3</v>
      </c>
      <c r="H199" s="3"/>
      <c r="I199" s="10" t="s">
        <v>133</v>
      </c>
      <c r="J199" s="7">
        <v>-1.49E-2</v>
      </c>
      <c r="K199" s="7">
        <v>-3.0999999999999999E-3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2:21" x14ac:dyDescent="0.3">
      <c r="B200" s="3"/>
      <c r="C200" s="10" t="s">
        <v>134</v>
      </c>
      <c r="D200" s="7">
        <v>1.3520000000000001E-2</v>
      </c>
      <c r="E200" s="7">
        <v>3.14E-3</v>
      </c>
      <c r="H200" s="3"/>
      <c r="I200" s="10" t="s">
        <v>134</v>
      </c>
      <c r="J200" s="7">
        <v>6.3E-3</v>
      </c>
      <c r="K200" s="7">
        <v>2.9999999999999997E-4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2:21" x14ac:dyDescent="0.3">
      <c r="B201" s="3"/>
      <c r="C201" s="10" t="s">
        <v>135</v>
      </c>
      <c r="D201" s="7">
        <v>-1.508E-2</v>
      </c>
      <c r="E201" s="7">
        <v>-1.7129999999999999E-2</v>
      </c>
      <c r="H201" s="3"/>
      <c r="I201" s="10" t="s">
        <v>135</v>
      </c>
      <c r="J201" s="7">
        <v>-4.7000000000000002E-3</v>
      </c>
      <c r="K201" s="7">
        <v>-1.67E-2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2:21" x14ac:dyDescent="0.3">
      <c r="B202" s="3"/>
      <c r="C202" s="10" t="s">
        <v>136</v>
      </c>
      <c r="D202" s="7">
        <v>2.2079999999999999E-2</v>
      </c>
      <c r="E202" s="7">
        <v>-1.3600000000000001E-3</v>
      </c>
      <c r="H202" s="3"/>
      <c r="I202" s="10" t="s">
        <v>136</v>
      </c>
      <c r="J202" s="7">
        <v>2.9399999999999999E-2</v>
      </c>
      <c r="K202" s="7">
        <v>-2.5999999999999999E-3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2:21" x14ac:dyDescent="0.3">
      <c r="B203" s="3"/>
      <c r="C203" s="10" t="s">
        <v>137</v>
      </c>
      <c r="D203" s="7">
        <v>4.0219999999999999E-2</v>
      </c>
      <c r="E203" s="7">
        <v>-3.16E-3</v>
      </c>
      <c r="H203" s="3"/>
      <c r="I203" s="10" t="s">
        <v>137</v>
      </c>
      <c r="J203" s="7">
        <v>1.0800000000000001E-2</v>
      </c>
      <c r="K203" s="7">
        <v>-5.8999999999999999E-3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2:21" x14ac:dyDescent="0.3">
      <c r="B204" s="3"/>
      <c r="C204" s="10" t="s">
        <v>138</v>
      </c>
      <c r="D204" s="7">
        <v>2.9850000000000002E-2</v>
      </c>
      <c r="E204" s="7">
        <v>1.8069999999999999E-2</v>
      </c>
      <c r="H204" s="3"/>
      <c r="I204" s="10" t="s">
        <v>138</v>
      </c>
      <c r="J204" s="7">
        <v>3.4099999999999998E-2</v>
      </c>
      <c r="K204" s="7">
        <v>1.06E-2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2:21" x14ac:dyDescent="0.3">
      <c r="B205" s="3"/>
      <c r="C205" s="10" t="s">
        <v>139</v>
      </c>
      <c r="D205" s="7">
        <v>-4.1270000000000001E-2</v>
      </c>
      <c r="E205" s="7">
        <v>-2.0959999999999999E-2</v>
      </c>
      <c r="H205" s="3"/>
      <c r="I205" s="10" t="s">
        <v>139</v>
      </c>
      <c r="J205" s="7">
        <v>-6.2E-2</v>
      </c>
      <c r="K205" s="7">
        <v>-2.3699999999999999E-2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2:21" x14ac:dyDescent="0.3">
      <c r="B206" s="3"/>
      <c r="C206" s="10" t="s">
        <v>140</v>
      </c>
      <c r="D206" s="7">
        <v>1.379E-2</v>
      </c>
      <c r="E206" s="7">
        <v>1.4659999999999999E-2</v>
      </c>
      <c r="H206" s="3"/>
      <c r="I206" s="10" t="s">
        <v>140</v>
      </c>
      <c r="J206" s="7">
        <v>2.8E-3</v>
      </c>
      <c r="K206" s="7">
        <v>9.2999999999999992E-3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2:21" x14ac:dyDescent="0.3">
      <c r="B207" s="3"/>
      <c r="C207" s="10" t="s">
        <v>141</v>
      </c>
      <c r="D207" s="7">
        <v>-2.563E-2</v>
      </c>
      <c r="E207" s="7">
        <v>-2.2349999999999998E-2</v>
      </c>
      <c r="H207" s="3"/>
      <c r="I207" s="10" t="s">
        <v>141</v>
      </c>
      <c r="J207" s="7">
        <v>-1.41E-2</v>
      </c>
      <c r="K207" s="7">
        <v>-3.6499999999999998E-2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2:21" x14ac:dyDescent="0.3">
      <c r="B208" s="3"/>
      <c r="C208" s="10" t="s">
        <v>142</v>
      </c>
      <c r="D208" s="7">
        <v>6.5060000000000007E-2</v>
      </c>
      <c r="E208" s="7">
        <v>3.703E-2</v>
      </c>
      <c r="H208" s="3"/>
      <c r="I208" s="10" t="s">
        <v>142</v>
      </c>
      <c r="J208" s="7">
        <v>6.0400000000000002E-2</v>
      </c>
      <c r="K208" s="7">
        <v>2.4500000000000001E-2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2:21" x14ac:dyDescent="0.3">
      <c r="B209" s="3"/>
      <c r="C209" s="10" t="s">
        <v>143</v>
      </c>
      <c r="D209" s="7">
        <v>-1.882E-2</v>
      </c>
      <c r="E209" s="7">
        <v>1.48E-3</v>
      </c>
      <c r="H209" s="3"/>
      <c r="I209" s="10" t="s">
        <v>143</v>
      </c>
      <c r="J209" s="7">
        <v>-1.38E-2</v>
      </c>
      <c r="K209" s="7">
        <v>3.0800000000000001E-2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2:21" x14ac:dyDescent="0.3">
      <c r="B210" s="3"/>
      <c r="C210" s="10" t="s">
        <v>144</v>
      </c>
      <c r="D210" s="7">
        <v>-1.3699999999999999E-3</v>
      </c>
      <c r="E210" s="7">
        <v>1.226E-2</v>
      </c>
      <c r="H210" s="3"/>
      <c r="I210" s="10" t="s">
        <v>144</v>
      </c>
      <c r="J210" s="7">
        <v>-2.8999999999999998E-3</v>
      </c>
      <c r="K210" s="7">
        <v>4.0000000000000001E-3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2:21" x14ac:dyDescent="0.3">
      <c r="B211" s="3"/>
      <c r="C211" s="10" t="s">
        <v>145</v>
      </c>
      <c r="D211" s="7">
        <v>-1.5350000000000001E-2</v>
      </c>
      <c r="E211" s="7">
        <v>-1.0580000000000001E-2</v>
      </c>
      <c r="H211" s="3"/>
      <c r="I211" s="10" t="s">
        <v>145</v>
      </c>
      <c r="J211" s="7">
        <v>-2.24E-2</v>
      </c>
      <c r="K211" s="7">
        <v>-1.6899999999999998E-2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2:21" x14ac:dyDescent="0.3">
      <c r="B212" s="3"/>
      <c r="C212" s="10" t="s">
        <v>146</v>
      </c>
      <c r="D212" s="7">
        <v>-5.0770000000000003E-2</v>
      </c>
      <c r="E212" s="7">
        <v>2.0200000000000001E-3</v>
      </c>
      <c r="H212" s="3"/>
      <c r="I212" s="10" t="s">
        <v>146</v>
      </c>
      <c r="J212" s="7">
        <v>-5.67E-2</v>
      </c>
      <c r="K212" s="7">
        <v>-5.3E-3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2:21" x14ac:dyDescent="0.3">
      <c r="B213" s="3"/>
      <c r="C213" s="10" t="s">
        <v>147</v>
      </c>
      <c r="D213" s="7">
        <v>-3.0370000000000001E-2</v>
      </c>
      <c r="E213" s="7">
        <v>-2.6159999999999999E-2</v>
      </c>
      <c r="H213" s="3"/>
      <c r="I213" s="10" t="s">
        <v>147</v>
      </c>
      <c r="J213" s="7">
        <v>-2.6599999999999999E-2</v>
      </c>
      <c r="K213" s="7">
        <v>-3.4799999999999998E-2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2:21" x14ac:dyDescent="0.3">
      <c r="B214" s="3"/>
      <c r="C214" s="10" t="s">
        <v>148</v>
      </c>
      <c r="D214" s="7">
        <v>2.0910000000000002E-2</v>
      </c>
      <c r="E214" s="7">
        <v>-4.5999999999999999E-3</v>
      </c>
      <c r="H214" s="3"/>
      <c r="I214" s="10" t="s">
        <v>148</v>
      </c>
      <c r="J214" s="7">
        <v>3.15E-2</v>
      </c>
      <c r="K214" s="7">
        <v>1.0500000000000001E-2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2:21" x14ac:dyDescent="0.3">
      <c r="B215" s="3"/>
      <c r="C215" s="10" t="s">
        <v>149</v>
      </c>
      <c r="D215" s="7">
        <v>5.867E-2</v>
      </c>
      <c r="E215" s="7">
        <v>2.2919999999999999E-2</v>
      </c>
      <c r="H215" s="3"/>
      <c r="I215" s="10" t="s">
        <v>149</v>
      </c>
      <c r="J215" s="7">
        <v>4.7800000000000002E-2</v>
      </c>
      <c r="K215" s="7">
        <v>1.72E-2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2:21" x14ac:dyDescent="0.3">
      <c r="B216" s="3"/>
      <c r="C216" s="10" t="s">
        <v>150</v>
      </c>
      <c r="D216" s="7">
        <v>-2.6790000000000001E-2</v>
      </c>
      <c r="E216" s="7">
        <v>-1.6709999999999999E-2</v>
      </c>
      <c r="H216" s="3"/>
      <c r="I216" s="10" t="s">
        <v>150</v>
      </c>
      <c r="J216" s="7">
        <v>-2.7799999999999998E-2</v>
      </c>
      <c r="K216" s="7">
        <v>1.8E-3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2:21" x14ac:dyDescent="0.3">
      <c r="B217" s="3"/>
      <c r="C217" s="10" t="s">
        <v>151</v>
      </c>
      <c r="D217" s="7">
        <v>6.9620000000000001E-2</v>
      </c>
      <c r="E217" s="7">
        <v>1.7090000000000001E-2</v>
      </c>
      <c r="H217" s="3"/>
      <c r="I217" s="10" t="s">
        <v>151</v>
      </c>
      <c r="J217" s="7">
        <v>9.4E-2</v>
      </c>
      <c r="K217" s="7">
        <v>3.1199999999999999E-2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2:21" x14ac:dyDescent="0.3">
      <c r="B218" s="3"/>
      <c r="C218" s="10" t="s">
        <v>152</v>
      </c>
      <c r="D218" s="7">
        <v>-3.6499999999999998E-2</v>
      </c>
      <c r="E218" s="7">
        <v>-2.8879999999999999E-2</v>
      </c>
      <c r="H218" s="3"/>
      <c r="I218" s="10" t="s">
        <v>152</v>
      </c>
      <c r="J218" s="7">
        <v>-0.02</v>
      </c>
      <c r="K218" s="7">
        <v>-3.5999999999999999E-3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2:21" x14ac:dyDescent="0.3">
      <c r="B219" s="3"/>
      <c r="C219" s="10" t="s">
        <v>153</v>
      </c>
      <c r="D219" s="7">
        <v>-8.8999999999999999E-3</v>
      </c>
      <c r="E219" s="7">
        <v>-2.8600000000000001E-3</v>
      </c>
      <c r="H219" s="3"/>
      <c r="I219" s="10" t="s">
        <v>153</v>
      </c>
      <c r="J219" s="7">
        <v>-1.6999999999999999E-3</v>
      </c>
      <c r="K219" s="7">
        <v>-9.9000000000000008E-3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2:21" x14ac:dyDescent="0.3">
      <c r="B220" s="3"/>
      <c r="C220" s="10" t="s">
        <v>154</v>
      </c>
      <c r="D220" s="7">
        <v>-3.1700000000000001E-3</v>
      </c>
      <c r="E220" s="7">
        <v>-1.3390000000000001E-2</v>
      </c>
      <c r="H220" s="3"/>
      <c r="I220" s="10" t="s">
        <v>154</v>
      </c>
      <c r="J220" s="7">
        <v>-3.2099999999999997E-2</v>
      </c>
      <c r="K220" s="7">
        <v>-1.49E-2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2:21" x14ac:dyDescent="0.3">
      <c r="B221" s="3"/>
      <c r="C221" s="10" t="s">
        <v>155</v>
      </c>
      <c r="D221" s="7">
        <v>1.3690000000000001E-2</v>
      </c>
      <c r="E221" s="7">
        <v>1.392E-2</v>
      </c>
      <c r="H221" s="3"/>
      <c r="I221" s="10" t="s">
        <v>155</v>
      </c>
      <c r="J221" s="7">
        <v>1.2999999999999999E-2</v>
      </c>
      <c r="K221" s="7">
        <v>1.4E-2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2:21" x14ac:dyDescent="0.3">
      <c r="B222" s="3"/>
      <c r="C222" s="10" t="s">
        <v>156</v>
      </c>
      <c r="D222" s="7">
        <v>-1.0499999999999999E-3</v>
      </c>
      <c r="E222" s="7">
        <v>-2.1319999999999999E-2</v>
      </c>
      <c r="H222" s="3"/>
      <c r="I222" s="10" t="s">
        <v>156</v>
      </c>
      <c r="J222" s="7">
        <v>-2.81E-2</v>
      </c>
      <c r="K222" s="7">
        <v>-2.5999999999999999E-2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2:21" x14ac:dyDescent="0.3">
      <c r="B223" s="3"/>
      <c r="C223" s="10" t="s">
        <v>157</v>
      </c>
      <c r="D223" s="7">
        <v>2.7130000000000001E-2</v>
      </c>
      <c r="E223" s="7">
        <v>-1.069E-2</v>
      </c>
      <c r="H223" s="3"/>
      <c r="I223" s="10" t="s">
        <v>157</v>
      </c>
      <c r="J223" s="7">
        <v>5.4699999999999999E-2</v>
      </c>
      <c r="K223" s="7">
        <v>-1.4999999999999999E-2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2:21" x14ac:dyDescent="0.3">
      <c r="B224" s="3"/>
      <c r="C224" s="11">
        <v>45233</v>
      </c>
      <c r="D224" s="7">
        <v>4.1369999999999997E-2</v>
      </c>
      <c r="E224" s="7">
        <v>2.2159999999999999E-2</v>
      </c>
      <c r="H224" s="3"/>
      <c r="I224" s="11">
        <v>45233</v>
      </c>
      <c r="J224" s="7">
        <v>2.5000000000000001E-2</v>
      </c>
      <c r="K224" s="7">
        <v>1.7299999999999999E-2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2:21" x14ac:dyDescent="0.3">
      <c r="B225" s="3"/>
      <c r="C225" s="11">
        <v>45240</v>
      </c>
      <c r="D225" s="7">
        <v>-1.7780000000000001E-2</v>
      </c>
      <c r="E225" s="7">
        <v>-2.4000000000000001E-4</v>
      </c>
      <c r="H225" s="3"/>
      <c r="I225" s="11">
        <v>45240</v>
      </c>
      <c r="J225" s="7">
        <v>-1.3299999999999999E-2</v>
      </c>
      <c r="K225" s="7">
        <v>-7.7000000000000002E-3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2:21" x14ac:dyDescent="0.3">
      <c r="B226" s="3"/>
      <c r="C226" s="11">
        <v>45247</v>
      </c>
      <c r="D226" s="7">
        <v>4.3180000000000003E-2</v>
      </c>
      <c r="E226" s="7">
        <v>1.0449999999999999E-2</v>
      </c>
      <c r="H226" s="3"/>
      <c r="I226" s="11">
        <v>45247</v>
      </c>
      <c r="J226" s="7">
        <v>3.56E-2</v>
      </c>
      <c r="K226" s="7">
        <v>1.95E-2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2:21" x14ac:dyDescent="0.3">
      <c r="B227" s="3"/>
      <c r="C227" s="11">
        <v>45254</v>
      </c>
      <c r="D227" s="7">
        <v>9.3900000000000008E-3</v>
      </c>
      <c r="E227" s="7">
        <v>-1.2199999999999999E-3</v>
      </c>
      <c r="H227" s="3"/>
      <c r="I227" s="11">
        <v>45254</v>
      </c>
      <c r="J227" s="7">
        <v>7.3000000000000001E-3</v>
      </c>
      <c r="K227" s="7">
        <v>-2.0999999999999999E-3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2:21" x14ac:dyDescent="0.3">
      <c r="B228" s="3"/>
      <c r="C228" s="10" t="s">
        <v>158</v>
      </c>
      <c r="D228" s="7">
        <v>-1.491E-2</v>
      </c>
      <c r="E228" s="7">
        <v>4.5999999999999999E-3</v>
      </c>
      <c r="H228" s="3"/>
      <c r="I228" s="10" t="s">
        <v>158</v>
      </c>
      <c r="J228" s="7">
        <v>2.06E-2</v>
      </c>
      <c r="K228" s="7">
        <v>5.4999999999999997E-3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2:21" x14ac:dyDescent="0.3">
      <c r="B229" s="3"/>
      <c r="C229" s="10" t="s">
        <v>159</v>
      </c>
      <c r="D229" s="7">
        <v>3.1859999999999999E-2</v>
      </c>
      <c r="E229" s="7">
        <v>1.721E-2</v>
      </c>
      <c r="H229" s="3"/>
      <c r="I229" s="10" t="s">
        <v>159</v>
      </c>
      <c r="J229" s="7">
        <v>-2.8999999999999998E-3</v>
      </c>
      <c r="K229" s="7">
        <v>3.3E-3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2:21" x14ac:dyDescent="0.3">
      <c r="B230" s="3"/>
      <c r="C230" s="10" t="s">
        <v>160</v>
      </c>
      <c r="D230" s="7">
        <v>3.0800000000000001E-2</v>
      </c>
      <c r="E230" s="7">
        <v>3.4439999999999998E-2</v>
      </c>
      <c r="H230" s="3"/>
      <c r="I230" s="10" t="s">
        <v>160</v>
      </c>
      <c r="J230" s="7">
        <v>2.06E-2</v>
      </c>
      <c r="K230" s="7">
        <v>2.8999999999999998E-3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2:21" x14ac:dyDescent="0.3">
      <c r="B231" s="3"/>
      <c r="C231" s="10" t="s">
        <v>161</v>
      </c>
      <c r="D231" s="7">
        <v>1.159E-2</v>
      </c>
      <c r="E231" s="7">
        <v>7.9100000000000004E-3</v>
      </c>
      <c r="H231" s="3"/>
      <c r="I231" s="10" t="s">
        <v>161</v>
      </c>
      <c r="J231" s="7">
        <v>2.47E-2</v>
      </c>
      <c r="K231" s="7">
        <v>1.6E-2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2:21" x14ac:dyDescent="0.3">
      <c r="B232" s="3"/>
      <c r="C232" s="10" t="s">
        <v>162</v>
      </c>
      <c r="D232" s="7">
        <v>9.3699999999999999E-3</v>
      </c>
      <c r="E232" s="7">
        <v>1.189E-2</v>
      </c>
      <c r="H232" s="3"/>
      <c r="I232" s="10" t="s">
        <v>162</v>
      </c>
      <c r="J232" s="7">
        <v>5.0000000000000001E-4</v>
      </c>
      <c r="K232" s="7">
        <v>4.5999999999999999E-3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2:21" x14ac:dyDescent="0.3">
      <c r="B233" s="3"/>
      <c r="C233" s="10" t="s">
        <v>163</v>
      </c>
      <c r="D233" s="7">
        <v>-2.4330000000000001E-2</v>
      </c>
      <c r="E233" s="7">
        <v>-1.34E-2</v>
      </c>
      <c r="H233" s="3"/>
      <c r="I233" s="10" t="s">
        <v>163</v>
      </c>
      <c r="J233" s="7">
        <v>-2.4299999999999999E-2</v>
      </c>
      <c r="K233" s="7">
        <v>-5.5999999999999999E-3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2:21" x14ac:dyDescent="0.3">
      <c r="B234" s="3"/>
      <c r="C234" s="10" t="s">
        <v>164</v>
      </c>
      <c r="D234" s="7">
        <v>-2.4250000000000001E-2</v>
      </c>
      <c r="E234" s="7">
        <v>1.23E-3</v>
      </c>
      <c r="H234" s="3"/>
      <c r="I234" s="10" t="s">
        <v>164</v>
      </c>
      <c r="J234" s="7">
        <v>-3.7499999999999999E-2</v>
      </c>
      <c r="K234" s="7">
        <v>-8.3999999999999995E-3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2:21" x14ac:dyDescent="0.3">
      <c r="B235" s="3"/>
      <c r="C235" s="10" t="s">
        <v>165</v>
      </c>
      <c r="D235" s="7">
        <v>-8.8999999999999999E-3</v>
      </c>
      <c r="E235" s="7">
        <v>-1.0279999999999999E-2</v>
      </c>
      <c r="H235" s="3"/>
      <c r="I235" s="10" t="s">
        <v>165</v>
      </c>
      <c r="J235" s="7">
        <v>-1.95E-2</v>
      </c>
      <c r="K235" s="7">
        <v>-2.1399999999999999E-2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2:21" x14ac:dyDescent="0.3">
      <c r="B236" s="3"/>
      <c r="C236" s="10" t="s">
        <v>166</v>
      </c>
      <c r="D236" s="7">
        <v>3.6170000000000001E-2</v>
      </c>
      <c r="E236" s="7">
        <v>1.8079999999999999E-2</v>
      </c>
      <c r="H236" s="3"/>
      <c r="I236" s="10" t="s">
        <v>166</v>
      </c>
      <c r="J236" s="7">
        <v>3.1600000000000003E-2</v>
      </c>
      <c r="K236" s="7">
        <v>2.3199999999999998E-2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2:21" x14ac:dyDescent="0.3">
      <c r="B237" s="3"/>
      <c r="C237" s="11">
        <v>45324</v>
      </c>
      <c r="D237" s="7">
        <v>-4.7499999999999999E-3</v>
      </c>
      <c r="E237" s="7">
        <v>1.9060000000000001E-2</v>
      </c>
      <c r="H237" s="3"/>
      <c r="I237" s="11">
        <v>45324</v>
      </c>
      <c r="J237" s="7">
        <v>-2.52E-2</v>
      </c>
      <c r="K237" s="7">
        <v>-2.5999999999999999E-3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2:21" x14ac:dyDescent="0.3">
      <c r="B238" s="3"/>
      <c r="C238" s="11">
        <v>45331</v>
      </c>
      <c r="D238" s="7">
        <v>-1.6140000000000002E-2</v>
      </c>
      <c r="E238" s="7">
        <v>-7.0899999999999999E-3</v>
      </c>
      <c r="H238" s="3"/>
      <c r="I238" s="11">
        <v>45331</v>
      </c>
      <c r="J238" s="7">
        <v>-1.2E-2</v>
      </c>
      <c r="K238" s="7">
        <v>-5.5999999999999999E-3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2:21" x14ac:dyDescent="0.3">
      <c r="B239" s="3"/>
      <c r="C239" s="11">
        <v>45338</v>
      </c>
      <c r="D239" s="7">
        <v>-7.0099999999999997E-3</v>
      </c>
      <c r="E239" s="7">
        <v>1.7700000000000001E-3</v>
      </c>
      <c r="H239" s="3"/>
      <c r="I239" s="11">
        <v>45338</v>
      </c>
      <c r="J239" s="7">
        <v>3.2000000000000001E-2</v>
      </c>
      <c r="K239" s="7">
        <v>1.84E-2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2:21" x14ac:dyDescent="0.3">
      <c r="B240" s="3"/>
      <c r="C240" s="11">
        <v>45345</v>
      </c>
      <c r="D240" s="7">
        <v>-3.5360000000000003E-2</v>
      </c>
      <c r="E240" s="7">
        <v>-1.92E-3</v>
      </c>
      <c r="H240" s="3"/>
      <c r="I240" s="11">
        <v>45345</v>
      </c>
      <c r="J240" s="7">
        <v>-5.7700000000000001E-2</v>
      </c>
      <c r="K240" s="7">
        <v>-6.9999999999999999E-4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2:21" x14ac:dyDescent="0.3">
      <c r="B241" s="3"/>
      <c r="C241" s="11">
        <v>45352</v>
      </c>
      <c r="D241" s="7">
        <v>3.7799999999999999E-3</v>
      </c>
      <c r="E241" s="7">
        <v>1.3339999999999999E-2</v>
      </c>
      <c r="H241" s="3"/>
      <c r="I241" s="11">
        <v>45352</v>
      </c>
      <c r="J241" s="7">
        <v>-1.35E-2</v>
      </c>
      <c r="K241" s="7">
        <v>-3.0999999999999999E-3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2:21" x14ac:dyDescent="0.3">
      <c r="B242" s="3"/>
      <c r="C242" s="11">
        <v>45359</v>
      </c>
      <c r="D242" s="7">
        <v>-3.9879999999999999E-2</v>
      </c>
      <c r="E242" s="7">
        <v>1.3089999999999999E-2</v>
      </c>
      <c r="H242" s="3"/>
      <c r="I242" s="11">
        <v>45359</v>
      </c>
      <c r="J242" s="7">
        <v>-5.0200000000000002E-2</v>
      </c>
      <c r="K242" s="7">
        <v>-3.0000000000000001E-3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2:21" x14ac:dyDescent="0.3">
      <c r="B243" s="3"/>
      <c r="C243" s="11">
        <v>45366</v>
      </c>
      <c r="D243" s="7">
        <v>-2.452E-2</v>
      </c>
      <c r="E243" s="7">
        <v>-2.2519999999999998E-2</v>
      </c>
      <c r="H243" s="3"/>
      <c r="I243" s="11">
        <v>45366</v>
      </c>
      <c r="J243" s="7">
        <v>-1.5E-3</v>
      </c>
      <c r="K243" s="7">
        <v>8.8000000000000005E-3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2:21" x14ac:dyDescent="0.3">
      <c r="B244" s="3"/>
      <c r="C244" s="11">
        <v>45373</v>
      </c>
      <c r="D244" s="7">
        <v>3.0870000000000002E-2</v>
      </c>
      <c r="E244" s="7">
        <v>1.308E-2</v>
      </c>
      <c r="H244" s="3"/>
      <c r="I244" s="11">
        <v>45373</v>
      </c>
      <c r="J244" s="7">
        <v>2.7799999999999998E-2</v>
      </c>
      <c r="K244" s="7">
        <v>2.63E-2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2:21" x14ac:dyDescent="0.3">
      <c r="B245" s="3"/>
      <c r="C245" s="11">
        <v>45380</v>
      </c>
      <c r="D245" s="7">
        <v>9.9500000000000005E-3</v>
      </c>
      <c r="E245" s="7">
        <v>1.6250000000000001E-2</v>
      </c>
      <c r="H245" s="3"/>
      <c r="I245" s="11">
        <v>45380</v>
      </c>
      <c r="J245" s="7">
        <v>4.0000000000000001E-3</v>
      </c>
      <c r="K245" s="7">
        <v>2.7000000000000001E-3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2:21" x14ac:dyDescent="0.3">
      <c r="B246" s="3"/>
      <c r="C246" s="11">
        <v>45387</v>
      </c>
      <c r="D246" s="7">
        <v>-9.9399999999999992E-3</v>
      </c>
      <c r="E246" s="7">
        <v>-1.5650000000000001E-2</v>
      </c>
      <c r="H246" s="3"/>
      <c r="I246" s="11">
        <v>45387</v>
      </c>
      <c r="J246" s="7">
        <v>-8.5000000000000006E-3</v>
      </c>
      <c r="K246" s="7">
        <v>-5.1999999999999998E-3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2:21" x14ac:dyDescent="0.3">
      <c r="B247" s="3"/>
      <c r="C247" s="11">
        <v>45394</v>
      </c>
      <c r="D247" s="7">
        <v>6.0970000000000003E-2</v>
      </c>
      <c r="E247" s="7">
        <v>1.9E-3</v>
      </c>
      <c r="H247" s="3"/>
      <c r="I247" s="11">
        <v>45394</v>
      </c>
      <c r="J247" s="7">
        <v>8.0500000000000002E-2</v>
      </c>
      <c r="K247" s="7">
        <v>1.0699999999999999E-2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2:21" x14ac:dyDescent="0.3">
      <c r="B248" s="3"/>
      <c r="C248" s="11">
        <v>45401</v>
      </c>
      <c r="D248" s="7">
        <v>1.2670000000000001E-2</v>
      </c>
      <c r="E248" s="7">
        <v>-2.835E-2</v>
      </c>
      <c r="H248" s="3"/>
      <c r="I248" s="11">
        <v>45401</v>
      </c>
      <c r="J248" s="7">
        <v>8.9999999999999998E-4</v>
      </c>
      <c r="K248" s="7">
        <v>-1.2500000000000001E-2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2:21" x14ac:dyDescent="0.3">
      <c r="B249" s="3"/>
      <c r="C249" s="11">
        <v>45408</v>
      </c>
      <c r="D249" s="7">
        <v>1.027E-2</v>
      </c>
      <c r="E249" s="7">
        <v>1.14E-3</v>
      </c>
      <c r="H249" s="3"/>
      <c r="I249" s="11">
        <v>45408</v>
      </c>
      <c r="J249" s="7">
        <v>1.3599999999999999E-2</v>
      </c>
      <c r="K249" s="7">
        <v>3.09E-2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2:21" x14ac:dyDescent="0.3">
      <c r="B250" s="3"/>
      <c r="C250" s="10" t="s">
        <v>167</v>
      </c>
      <c r="D250" s="7">
        <v>-1.23E-2</v>
      </c>
      <c r="E250" s="7">
        <v>7.0099999999999997E-3</v>
      </c>
      <c r="H250" s="3"/>
      <c r="I250" s="10" t="s">
        <v>167</v>
      </c>
      <c r="J250" s="7">
        <v>2.5999999999999999E-3</v>
      </c>
      <c r="K250" s="7">
        <v>8.9999999999999993E-3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2:21" x14ac:dyDescent="0.3">
      <c r="B251" s="3"/>
      <c r="C251" s="10" t="s">
        <v>168</v>
      </c>
      <c r="D251" s="7">
        <v>6.0400000000000002E-3</v>
      </c>
      <c r="E251" s="7">
        <v>1.5730000000000001E-2</v>
      </c>
      <c r="H251" s="3"/>
      <c r="I251" s="10" t="s">
        <v>168</v>
      </c>
      <c r="J251" s="7">
        <v>2.52E-2</v>
      </c>
      <c r="K251" s="7">
        <v>2.6800000000000001E-2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2:21" x14ac:dyDescent="0.3">
      <c r="B252" s="3"/>
      <c r="C252" s="10" t="s">
        <v>169</v>
      </c>
      <c r="D252" s="7">
        <v>1.6379999999999999E-2</v>
      </c>
      <c r="E252" s="7">
        <v>8.4399999999999996E-3</v>
      </c>
      <c r="H252" s="3"/>
      <c r="I252" s="10" t="s">
        <v>169</v>
      </c>
      <c r="J252" s="7">
        <v>3.2099999999999997E-2</v>
      </c>
      <c r="K252" s="7">
        <v>-1.6000000000000001E-3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2:21" x14ac:dyDescent="0.3">
      <c r="B253" s="3"/>
      <c r="C253" s="10" t="s">
        <v>170</v>
      </c>
      <c r="D253" s="7">
        <v>2.65E-3</v>
      </c>
      <c r="E253" s="7">
        <v>-1.111E-2</v>
      </c>
      <c r="H253" s="3"/>
      <c r="I253" s="10" t="s">
        <v>170</v>
      </c>
      <c r="J253" s="7">
        <v>-2.2499999999999999E-2</v>
      </c>
      <c r="K253" s="7">
        <v>-1.2200000000000001E-2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2:21" x14ac:dyDescent="0.3">
      <c r="B254" s="3"/>
      <c r="C254" s="10" t="s">
        <v>171</v>
      </c>
      <c r="D254" s="7">
        <v>-2.6720000000000001E-2</v>
      </c>
      <c r="E254" s="7">
        <v>-3.3500000000000001E-3</v>
      </c>
      <c r="H254" s="3"/>
      <c r="I254" s="10" t="s">
        <v>171</v>
      </c>
      <c r="J254" s="7">
        <v>-3.1699999999999999E-2</v>
      </c>
      <c r="K254" s="7">
        <v>-5.1000000000000004E-3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2:21" x14ac:dyDescent="0.3">
      <c r="B255" s="3"/>
      <c r="C255" s="10" t="s">
        <v>172</v>
      </c>
      <c r="D255" s="7">
        <v>-2.8299999999999999E-2</v>
      </c>
      <c r="E255" s="7">
        <v>2.0549999999999999E-2</v>
      </c>
      <c r="H255" s="3"/>
      <c r="I255" s="10" t="s">
        <v>172</v>
      </c>
      <c r="J255" s="7">
        <v>-2.2599999999999999E-2</v>
      </c>
      <c r="K255" s="7">
        <v>-3.5999999999999999E-3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2:21" x14ac:dyDescent="0.3">
      <c r="B256" s="3"/>
      <c r="C256" s="10" t="s">
        <v>173</v>
      </c>
      <c r="D256" s="7">
        <v>-4.0779999999999997E-2</v>
      </c>
      <c r="E256" s="7">
        <v>-1.7260000000000001E-2</v>
      </c>
      <c r="H256" s="3"/>
      <c r="I256" s="10" t="s">
        <v>173</v>
      </c>
      <c r="J256" s="7">
        <v>-2.4899999999999999E-2</v>
      </c>
      <c r="K256" s="7">
        <v>-1.1900000000000001E-2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2:22" x14ac:dyDescent="0.3">
      <c r="B257" s="3"/>
      <c r="C257" s="10" t="s">
        <v>174</v>
      </c>
      <c r="D257" s="7">
        <v>4.2000000000000002E-4</v>
      </c>
      <c r="E257" s="7">
        <v>9.2800000000000001E-3</v>
      </c>
      <c r="H257" s="3"/>
      <c r="I257" s="10" t="s">
        <v>174</v>
      </c>
      <c r="J257" s="7">
        <v>2.8999999999999998E-3</v>
      </c>
      <c r="K257" s="7">
        <v>1.12E-2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2:22" x14ac:dyDescent="0.3">
      <c r="B258" s="3"/>
      <c r="C258" s="10" t="s">
        <v>175</v>
      </c>
      <c r="D258" s="7">
        <v>-1.04E-2</v>
      </c>
      <c r="E258" s="7">
        <v>-3.6600000000000001E-3</v>
      </c>
      <c r="H258" s="3"/>
      <c r="I258" s="10" t="s">
        <v>175</v>
      </c>
      <c r="J258" s="7">
        <v>-6.3E-3</v>
      </c>
      <c r="K258" s="7">
        <v>-8.8999999999999999E-3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2:22" x14ac:dyDescent="0.3">
      <c r="B259" s="3"/>
      <c r="C259" s="10" t="s">
        <v>176</v>
      </c>
      <c r="D259" s="7">
        <v>3.252E-2</v>
      </c>
      <c r="E259" s="7">
        <v>7.0600000000000003E-3</v>
      </c>
      <c r="H259" s="3"/>
      <c r="I259" s="10" t="s">
        <v>176</v>
      </c>
      <c r="J259" s="7">
        <v>1.12E-2</v>
      </c>
      <c r="K259" s="7">
        <v>4.8999999999999998E-3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2:22" x14ac:dyDescent="0.3">
      <c r="B260" s="3"/>
      <c r="C260" s="10" t="s">
        <v>177</v>
      </c>
      <c r="D260" s="7">
        <v>-2.4740000000000002E-2</v>
      </c>
      <c r="E260" s="7">
        <v>1.7510000000000001E-2</v>
      </c>
      <c r="H260" s="3"/>
      <c r="I260" s="10" t="s">
        <v>177</v>
      </c>
      <c r="J260" s="7">
        <v>2.0000000000000001E-4</v>
      </c>
      <c r="K260" s="7">
        <v>6.0000000000000001E-3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2:22" x14ac:dyDescent="0.3">
      <c r="B261" s="3"/>
      <c r="C261" s="10" t="s">
        <v>178</v>
      </c>
      <c r="D261" s="7">
        <v>-4.8739999999999999E-2</v>
      </c>
      <c r="E261" s="7">
        <v>1.5499999999999999E-3</v>
      </c>
      <c r="H261" s="3"/>
      <c r="I261" s="10" t="s">
        <v>178</v>
      </c>
      <c r="J261" s="7">
        <v>-6.54E-2</v>
      </c>
      <c r="K261" s="7">
        <v>-1.18E-2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2:22" x14ac:dyDescent="0.3">
      <c r="B262" s="3"/>
      <c r="C262" s="10" t="s">
        <v>179</v>
      </c>
      <c r="D262" s="7">
        <v>1.6840000000000001E-2</v>
      </c>
      <c r="E262" s="7">
        <v>-6.3099999999999996E-3</v>
      </c>
      <c r="H262" s="3"/>
      <c r="I262" s="10" t="s">
        <v>179</v>
      </c>
      <c r="J262" s="7">
        <v>2.46E-2</v>
      </c>
      <c r="K262" s="7">
        <v>1.5900000000000001E-2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2:22" x14ac:dyDescent="0.3">
      <c r="B263" s="3"/>
      <c r="C263" s="10" t="s">
        <v>180</v>
      </c>
      <c r="D263" s="7">
        <v>2.4500000000000001E-2</v>
      </c>
      <c r="E263" s="7">
        <v>2.7599999999999999E-3</v>
      </c>
      <c r="H263" s="3"/>
      <c r="I263" s="10" t="s">
        <v>180</v>
      </c>
      <c r="J263" s="7">
        <v>-1.7399999999999999E-2</v>
      </c>
      <c r="K263" s="7">
        <v>-1.34E-2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2:22" x14ac:dyDescent="0.3">
      <c r="B264" s="3"/>
      <c r="C264" s="10" t="s">
        <v>181</v>
      </c>
      <c r="D264" s="7">
        <v>-5.8900000000000003E-3</v>
      </c>
      <c r="E264" s="7">
        <v>-2.8830000000000001E-2</v>
      </c>
      <c r="H264" s="3"/>
      <c r="I264" s="10" t="s">
        <v>181</v>
      </c>
      <c r="J264" s="7">
        <v>-7.4000000000000003E-3</v>
      </c>
      <c r="K264" s="7">
        <v>-1.8100000000000002E-2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6" spans="2:22" x14ac:dyDescent="0.3">
      <c r="B266" s="1" t="s">
        <v>182</v>
      </c>
      <c r="C266" s="17"/>
      <c r="D266" s="3"/>
      <c r="E266" s="2" t="s">
        <v>2</v>
      </c>
      <c r="H266" s="1" t="s">
        <v>218</v>
      </c>
      <c r="I266" s="17"/>
      <c r="J266" s="3"/>
      <c r="K266" s="3" t="s">
        <v>219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2:22" x14ac:dyDescent="0.3">
      <c r="B267" s="3"/>
      <c r="C267" s="9" t="s">
        <v>3</v>
      </c>
      <c r="D267" s="4" t="s">
        <v>4</v>
      </c>
      <c r="E267" s="4" t="s">
        <v>4</v>
      </c>
      <c r="H267" s="3"/>
      <c r="I267" s="9" t="s">
        <v>3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2:22" x14ac:dyDescent="0.3">
      <c r="B268" s="3"/>
      <c r="C268" s="10" t="s">
        <v>183</v>
      </c>
      <c r="D268" s="5"/>
      <c r="E268" s="5"/>
      <c r="H268" s="3"/>
      <c r="I268" s="10" t="s">
        <v>183</v>
      </c>
      <c r="J268" s="5"/>
      <c r="K268" s="5"/>
      <c r="L268" s="3"/>
      <c r="M268" s="3"/>
      <c r="N268" s="3" t="s">
        <v>220</v>
      </c>
      <c r="O268" s="3"/>
      <c r="P268" s="3" t="s">
        <v>221</v>
      </c>
      <c r="Q268" s="3" t="s">
        <v>222</v>
      </c>
      <c r="R268" s="3"/>
      <c r="S268" s="3"/>
      <c r="T268" s="3"/>
      <c r="U268" s="3"/>
      <c r="V268" s="3"/>
    </row>
    <row r="269" spans="2:22" ht="15" thickBot="1" x14ac:dyDescent="0.35">
      <c r="B269" s="3"/>
      <c r="C269" s="10" t="s">
        <v>184</v>
      </c>
      <c r="D269" s="7">
        <v>5.8119999999999998E-2</v>
      </c>
      <c r="E269" s="7">
        <v>1.273E-2</v>
      </c>
      <c r="H269" s="3"/>
      <c r="I269" s="10" t="s">
        <v>184</v>
      </c>
      <c r="J269" s="7">
        <v>1.43E-2</v>
      </c>
      <c r="K269" s="7">
        <v>2.7900000000000001E-2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2:22" x14ac:dyDescent="0.3">
      <c r="B270" s="3"/>
      <c r="C270" s="10" t="s">
        <v>185</v>
      </c>
      <c r="D270" s="7">
        <v>-1.932E-2</v>
      </c>
      <c r="E270" s="7">
        <v>-3.7200000000000002E-3</v>
      </c>
      <c r="H270" s="3"/>
      <c r="I270" s="10" t="s">
        <v>185</v>
      </c>
      <c r="J270" s="7">
        <v>-4.6300000000000001E-2</v>
      </c>
      <c r="K270" s="7">
        <v>-2.1600000000000001E-2</v>
      </c>
      <c r="L270" s="3"/>
      <c r="M270" s="3"/>
      <c r="N270" s="86" t="s">
        <v>223</v>
      </c>
      <c r="O270" s="86"/>
      <c r="P270" s="3"/>
      <c r="Q270" s="3"/>
      <c r="R270" s="3"/>
      <c r="S270" s="3"/>
      <c r="T270" s="3"/>
      <c r="U270" s="3"/>
      <c r="V270" s="3"/>
    </row>
    <row r="271" spans="2:22" x14ac:dyDescent="0.3">
      <c r="B271" s="3"/>
      <c r="C271" s="11">
        <v>43799</v>
      </c>
      <c r="D271" s="7">
        <v>6.6239999999999993E-2</v>
      </c>
      <c r="E271" s="7">
        <v>2.7400000000000001E-2</v>
      </c>
      <c r="H271" s="3"/>
      <c r="I271" s="11">
        <v>43799</v>
      </c>
      <c r="J271" s="7">
        <v>4.6699999999999998E-2</v>
      </c>
      <c r="K271" s="7">
        <v>1.35E-2</v>
      </c>
      <c r="L271" s="3"/>
      <c r="M271" s="3"/>
      <c r="N271" s="3" t="s">
        <v>224</v>
      </c>
      <c r="O271" s="3">
        <v>0.30200609099999998</v>
      </c>
      <c r="P271" s="3"/>
      <c r="Q271" s="3"/>
      <c r="R271" s="3"/>
      <c r="S271" s="3"/>
      <c r="T271" s="3"/>
      <c r="U271" s="3"/>
      <c r="V271" s="3"/>
    </row>
    <row r="272" spans="2:22" x14ac:dyDescent="0.3">
      <c r="B272" s="3"/>
      <c r="C272" s="10" t="s">
        <v>186</v>
      </c>
      <c r="D272" s="7">
        <v>3.6119999999999999E-2</v>
      </c>
      <c r="E272" s="7">
        <v>-2.3650000000000001E-2</v>
      </c>
      <c r="H272" s="3"/>
      <c r="I272" s="10" t="s">
        <v>186</v>
      </c>
      <c r="J272" s="7">
        <v>7.1800000000000003E-2</v>
      </c>
      <c r="K272" s="7">
        <v>2.6700000000000002E-2</v>
      </c>
      <c r="L272" s="3"/>
      <c r="M272" s="3"/>
      <c r="N272" s="3" t="s">
        <v>225</v>
      </c>
      <c r="O272" s="3">
        <v>9.1207679E-2</v>
      </c>
      <c r="P272" s="3"/>
      <c r="Q272" s="3"/>
      <c r="R272" s="3"/>
      <c r="S272" s="3"/>
      <c r="T272" s="3"/>
      <c r="U272" s="3"/>
      <c r="V272" s="3"/>
    </row>
    <row r="273" spans="2:22" x14ac:dyDescent="0.3">
      <c r="B273" s="3"/>
      <c r="C273" s="10" t="s">
        <v>25</v>
      </c>
      <c r="D273" s="7">
        <v>-1.6240000000000001E-2</v>
      </c>
      <c r="E273" s="7">
        <v>4.9829999999999999E-2</v>
      </c>
      <c r="H273" s="3"/>
      <c r="I273" s="10" t="s">
        <v>25</v>
      </c>
      <c r="J273" s="7">
        <v>-9.2999999999999999E-2</v>
      </c>
      <c r="K273" s="7">
        <v>-3.4000000000000002E-2</v>
      </c>
      <c r="L273" s="3"/>
      <c r="M273" s="3"/>
      <c r="N273" s="3" t="s">
        <v>226</v>
      </c>
      <c r="O273" s="3">
        <v>7.5538846000000007E-2</v>
      </c>
      <c r="P273" s="3"/>
      <c r="Q273" s="3"/>
      <c r="R273" s="3"/>
      <c r="S273" s="3"/>
      <c r="T273" s="3"/>
      <c r="U273" s="3"/>
      <c r="V273" s="3"/>
    </row>
    <row r="274" spans="2:22" x14ac:dyDescent="0.3">
      <c r="B274" s="3"/>
      <c r="C274" s="11">
        <v>43890</v>
      </c>
      <c r="D274" s="7">
        <v>-0.11643000000000001</v>
      </c>
      <c r="E274" s="7">
        <v>-8.208E-2</v>
      </c>
      <c r="H274" s="3"/>
      <c r="I274" s="11">
        <v>43890</v>
      </c>
      <c r="J274" s="7">
        <v>-0.1166</v>
      </c>
      <c r="K274" s="7">
        <v>-9.6799999999999997E-2</v>
      </c>
      <c r="L274" s="3"/>
      <c r="M274" s="3"/>
      <c r="N274" s="3" t="s">
        <v>227</v>
      </c>
      <c r="O274" s="3">
        <v>7.0212696000000005E-2</v>
      </c>
      <c r="P274" s="3"/>
      <c r="Q274" s="3"/>
      <c r="R274" s="3"/>
      <c r="S274" s="3"/>
      <c r="T274" s="3"/>
      <c r="U274" s="3"/>
      <c r="V274" s="3"/>
    </row>
    <row r="275" spans="2:22" ht="15" thickBot="1" x14ac:dyDescent="0.35">
      <c r="B275" s="3"/>
      <c r="C275" s="11">
        <v>43921</v>
      </c>
      <c r="D275" s="7">
        <v>-3.0939999999999999E-2</v>
      </c>
      <c r="E275" s="7">
        <v>-0.21182000000000001</v>
      </c>
      <c r="H275" s="3"/>
      <c r="I275" s="11">
        <v>43921</v>
      </c>
      <c r="J275" s="7">
        <v>3.0599999999999999E-2</v>
      </c>
      <c r="K275" s="7">
        <v>-0.1381</v>
      </c>
      <c r="L275" s="3"/>
      <c r="M275" s="3"/>
      <c r="N275" s="13" t="s">
        <v>228</v>
      </c>
      <c r="O275" s="13">
        <v>60</v>
      </c>
      <c r="P275" s="3"/>
      <c r="Q275" s="3"/>
      <c r="R275" s="3"/>
      <c r="S275" s="3"/>
      <c r="T275" s="3"/>
      <c r="U275" s="3"/>
      <c r="V275" s="3"/>
    </row>
    <row r="276" spans="2:22" x14ac:dyDescent="0.3">
      <c r="B276" s="3"/>
      <c r="C276" s="11">
        <v>43951</v>
      </c>
      <c r="D276" s="7">
        <v>3.4759999999999999E-2</v>
      </c>
      <c r="E276" s="7">
        <v>8.7770000000000001E-2</v>
      </c>
      <c r="H276" s="3"/>
      <c r="I276" s="11">
        <v>43951</v>
      </c>
      <c r="J276" s="7">
        <v>-9.1000000000000004E-3</v>
      </c>
      <c r="K276" s="7">
        <v>4.0399999999999998E-2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2:22" ht="15" thickBot="1" x14ac:dyDescent="0.35">
      <c r="B277" s="3"/>
      <c r="C277" s="10" t="s">
        <v>187</v>
      </c>
      <c r="D277" s="7">
        <v>6.7309999999999995E-2</v>
      </c>
      <c r="E277" s="7">
        <v>4.2250000000000003E-2</v>
      </c>
      <c r="H277" s="3"/>
      <c r="I277" s="10" t="s">
        <v>187</v>
      </c>
      <c r="J277" s="7">
        <v>0.1706</v>
      </c>
      <c r="K277" s="7">
        <v>2.9700000000000001E-2</v>
      </c>
      <c r="L277" s="3"/>
      <c r="M277" s="3"/>
      <c r="N277" s="3" t="s">
        <v>229</v>
      </c>
      <c r="O277" s="3"/>
      <c r="P277" s="3"/>
      <c r="Q277" s="3"/>
      <c r="R277" s="3"/>
      <c r="S277" s="3"/>
      <c r="T277" s="3"/>
      <c r="U277" s="3"/>
      <c r="V277" s="3"/>
    </row>
    <row r="278" spans="2:22" x14ac:dyDescent="0.3">
      <c r="B278" s="3"/>
      <c r="C278" s="10" t="s">
        <v>188</v>
      </c>
      <c r="D278" s="7">
        <v>4.8820000000000002E-2</v>
      </c>
      <c r="E278" s="7">
        <v>2.4709999999999999E-2</v>
      </c>
      <c r="H278" s="3"/>
      <c r="I278" s="10" t="s">
        <v>188</v>
      </c>
      <c r="J278" s="7">
        <v>5.4699999999999999E-2</v>
      </c>
      <c r="K278" s="7">
        <v>1.5299999999999999E-2</v>
      </c>
      <c r="L278" s="3"/>
      <c r="M278" s="3"/>
      <c r="N278" s="14"/>
      <c r="O278" s="14" t="s">
        <v>230</v>
      </c>
      <c r="P278" s="14" t="s">
        <v>231</v>
      </c>
      <c r="Q278" s="14" t="s">
        <v>232</v>
      </c>
      <c r="R278" s="14" t="s">
        <v>233</v>
      </c>
      <c r="S278" s="14" t="s">
        <v>234</v>
      </c>
      <c r="T278" s="3"/>
      <c r="U278" s="3"/>
      <c r="V278" s="3"/>
    </row>
    <row r="279" spans="2:22" x14ac:dyDescent="0.3">
      <c r="B279" s="3"/>
      <c r="C279" s="10" t="s">
        <v>39</v>
      </c>
      <c r="D279" s="7">
        <v>4.1239999999999999E-2</v>
      </c>
      <c r="E279" s="7">
        <v>5.0699999999999999E-3</v>
      </c>
      <c r="H279" s="3"/>
      <c r="I279" s="10" t="s">
        <v>39</v>
      </c>
      <c r="J279" s="7">
        <v>1.4500000000000001E-2</v>
      </c>
      <c r="K279" s="7">
        <v>-4.41E-2</v>
      </c>
      <c r="L279" s="3"/>
      <c r="M279" s="3"/>
      <c r="N279" s="3" t="s">
        <v>235</v>
      </c>
      <c r="O279" s="3">
        <v>1</v>
      </c>
      <c r="P279" s="3">
        <v>2.8696309999999999E-2</v>
      </c>
      <c r="Q279" s="3">
        <v>2.8696309999999999E-2</v>
      </c>
      <c r="R279" s="3">
        <v>5.8209618089999999</v>
      </c>
      <c r="S279" s="3">
        <v>1.9018507E-2</v>
      </c>
      <c r="T279" s="3"/>
      <c r="U279" s="3"/>
      <c r="V279" s="3"/>
    </row>
    <row r="280" spans="2:22" x14ac:dyDescent="0.3">
      <c r="B280" s="3"/>
      <c r="C280" s="10" t="s">
        <v>189</v>
      </c>
      <c r="D280" s="7">
        <v>-3.9219999999999998E-2</v>
      </c>
      <c r="E280" s="7">
        <v>2.239E-2</v>
      </c>
      <c r="H280" s="3"/>
      <c r="I280" s="10" t="s">
        <v>189</v>
      </c>
      <c r="J280" s="7">
        <v>4.3E-3</v>
      </c>
      <c r="K280" s="7">
        <v>1.12E-2</v>
      </c>
      <c r="L280" s="3"/>
      <c r="M280" s="3"/>
      <c r="N280" s="3" t="s">
        <v>236</v>
      </c>
      <c r="O280" s="3">
        <v>58</v>
      </c>
      <c r="P280" s="3">
        <v>0.285929716</v>
      </c>
      <c r="Q280" s="3">
        <v>4.9298229999999998E-3</v>
      </c>
      <c r="R280" s="3"/>
      <c r="S280" s="3"/>
      <c r="T280" s="3"/>
      <c r="U280" s="3"/>
      <c r="V280" s="3"/>
    </row>
    <row r="281" spans="2:22" ht="15" thickBot="1" x14ac:dyDescent="0.35">
      <c r="B281" s="3"/>
      <c r="C281" s="10" t="s">
        <v>190</v>
      </c>
      <c r="D281" s="7">
        <v>-3.755E-2</v>
      </c>
      <c r="E281" s="7">
        <v>-4.036E-2</v>
      </c>
      <c r="H281" s="3"/>
      <c r="I281" s="10" t="s">
        <v>190</v>
      </c>
      <c r="J281" s="7">
        <v>4.4000000000000003E-3</v>
      </c>
      <c r="K281" s="7">
        <v>-1.6299999999999999E-2</v>
      </c>
      <c r="L281" s="3"/>
      <c r="M281" s="3"/>
      <c r="N281" s="13" t="s">
        <v>237</v>
      </c>
      <c r="O281" s="13">
        <v>59</v>
      </c>
      <c r="P281" s="13">
        <v>0.314626026</v>
      </c>
      <c r="Q281" s="13"/>
      <c r="R281" s="13"/>
      <c r="S281" s="13"/>
      <c r="T281" s="3"/>
      <c r="U281" s="3"/>
      <c r="V281" s="3"/>
    </row>
    <row r="282" spans="2:22" ht="15" thickBot="1" x14ac:dyDescent="0.35">
      <c r="B282" s="3"/>
      <c r="C282" s="10" t="s">
        <v>191</v>
      </c>
      <c r="D282" s="7">
        <v>-2.0039999999999999E-2</v>
      </c>
      <c r="E282" s="7">
        <v>1.9210000000000001E-2</v>
      </c>
      <c r="H282" s="3"/>
      <c r="I282" s="10" t="s">
        <v>191</v>
      </c>
      <c r="J282" s="7">
        <v>-6.4100000000000004E-2</v>
      </c>
      <c r="K282" s="7">
        <v>-4.9200000000000001E-2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2:22" x14ac:dyDescent="0.3">
      <c r="B283" s="3"/>
      <c r="C283" s="11">
        <v>44165</v>
      </c>
      <c r="D283" s="7">
        <v>9.7049999999999997E-2</v>
      </c>
      <c r="E283" s="7">
        <v>9.9570000000000006E-2</v>
      </c>
      <c r="H283" s="3"/>
      <c r="I283" s="11">
        <v>44165</v>
      </c>
      <c r="J283" s="7">
        <v>0.1095</v>
      </c>
      <c r="K283" s="7">
        <v>0.1235</v>
      </c>
      <c r="L283" s="3"/>
      <c r="M283" s="3"/>
      <c r="N283" s="14"/>
      <c r="O283" s="14" t="s">
        <v>238</v>
      </c>
      <c r="P283" s="14" t="s">
        <v>227</v>
      </c>
      <c r="Q283" s="14" t="s">
        <v>239</v>
      </c>
      <c r="R283" s="14" t="s">
        <v>240</v>
      </c>
      <c r="S283" s="14" t="s">
        <v>241</v>
      </c>
      <c r="T283" s="14" t="s">
        <v>242</v>
      </c>
      <c r="U283" s="14" t="s">
        <v>243</v>
      </c>
      <c r="V283" s="14" t="s">
        <v>244</v>
      </c>
    </row>
    <row r="284" spans="2:22" x14ac:dyDescent="0.3">
      <c r="B284" s="3"/>
      <c r="C284" s="10" t="s">
        <v>192</v>
      </c>
      <c r="D284" s="7">
        <v>0.12257999999999999</v>
      </c>
      <c r="E284" s="7">
        <v>1.0630000000000001E-2</v>
      </c>
      <c r="H284" s="3"/>
      <c r="I284" s="10" t="s">
        <v>192</v>
      </c>
      <c r="J284" s="7">
        <v>0.13159999999999999</v>
      </c>
      <c r="K284" s="7">
        <v>3.1E-2</v>
      </c>
      <c r="L284" s="3"/>
      <c r="M284" s="3"/>
      <c r="N284" s="3" t="s">
        <v>245</v>
      </c>
      <c r="O284" s="3">
        <v>6.457178E-3</v>
      </c>
      <c r="P284" s="3">
        <v>9.0932210000000003E-3</v>
      </c>
      <c r="Q284" s="3">
        <v>0.71010906500000004</v>
      </c>
      <c r="R284" s="3">
        <v>0.48048196100000001</v>
      </c>
      <c r="S284" s="3">
        <v>-1.1744879999999999E-2</v>
      </c>
      <c r="T284" s="3">
        <v>2.4659237000000001E-2</v>
      </c>
      <c r="U284" s="3">
        <v>-1.1744879999999999E-2</v>
      </c>
      <c r="V284" s="3">
        <v>2.4659237000000001E-2</v>
      </c>
    </row>
    <row r="285" spans="2:22" ht="15" thickBot="1" x14ac:dyDescent="0.35">
      <c r="B285" s="3"/>
      <c r="C285" s="10" t="s">
        <v>193</v>
      </c>
      <c r="D285" s="7">
        <v>-3.092E-2</v>
      </c>
      <c r="E285" s="7">
        <v>3.0799999999999998E-3</v>
      </c>
      <c r="H285" s="3"/>
      <c r="I285" s="10" t="s">
        <v>193</v>
      </c>
      <c r="J285" s="7">
        <v>2.18E-2</v>
      </c>
      <c r="K285" s="7">
        <v>-8.2000000000000007E-3</v>
      </c>
      <c r="L285" s="3"/>
      <c r="M285" s="3"/>
      <c r="N285" s="13" t="s">
        <v>246</v>
      </c>
      <c r="O285" s="15">
        <v>0.454623371</v>
      </c>
      <c r="P285" s="13">
        <v>0.188431881</v>
      </c>
      <c r="Q285" s="13">
        <v>2.4126669490000001</v>
      </c>
      <c r="R285" s="13">
        <v>1.9018507E-2</v>
      </c>
      <c r="S285" s="13">
        <v>7.7435981000000001E-2</v>
      </c>
      <c r="T285" s="13">
        <v>0.83181076200000004</v>
      </c>
      <c r="U285" s="13">
        <v>7.7435981000000001E-2</v>
      </c>
      <c r="V285" s="13">
        <v>0.83181076200000004</v>
      </c>
    </row>
    <row r="286" spans="2:22" x14ac:dyDescent="0.3">
      <c r="B286" s="3"/>
      <c r="C286" s="11">
        <v>44255</v>
      </c>
      <c r="D286" s="7">
        <v>0.15301999999999999</v>
      </c>
      <c r="E286" s="7">
        <v>9.9699999999999997E-3</v>
      </c>
      <c r="H286" s="3"/>
      <c r="I286" s="11">
        <v>44255</v>
      </c>
      <c r="J286" s="7">
        <v>0.107</v>
      </c>
      <c r="K286" s="7">
        <v>1.1900000000000001E-2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2:22" x14ac:dyDescent="0.3">
      <c r="B287" s="3"/>
      <c r="C287" s="11">
        <v>44286</v>
      </c>
      <c r="D287" s="7">
        <v>-0.12114999999999999</v>
      </c>
      <c r="E287" s="7">
        <v>1.7590000000000001E-2</v>
      </c>
      <c r="H287" s="3"/>
      <c r="I287" s="11">
        <v>44286</v>
      </c>
      <c r="J287" s="7">
        <v>-9.3600000000000003E-2</v>
      </c>
      <c r="K287" s="7">
        <v>3.5499999999999997E-2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2:22" x14ac:dyDescent="0.3">
      <c r="B288" s="3"/>
      <c r="C288" s="11">
        <v>44316</v>
      </c>
      <c r="D288" s="7">
        <v>9.3909999999999993E-2</v>
      </c>
      <c r="E288" s="7">
        <v>3.4619999999999998E-2</v>
      </c>
      <c r="H288" s="3"/>
      <c r="I288" s="11">
        <v>44316</v>
      </c>
      <c r="J288" s="7">
        <v>9.4799999999999995E-2</v>
      </c>
      <c r="K288" s="7">
        <v>3.8199999999999998E-2</v>
      </c>
      <c r="L288" s="3"/>
      <c r="M288" s="3"/>
      <c r="N288" s="3" t="s">
        <v>220</v>
      </c>
      <c r="O288" s="3"/>
      <c r="P288" s="3"/>
      <c r="Q288" s="3"/>
      <c r="R288" s="3"/>
      <c r="S288" s="3"/>
      <c r="T288" s="3"/>
      <c r="U288" s="3"/>
      <c r="V288" s="3"/>
    </row>
    <row r="289" spans="2:22" ht="15" thickBot="1" x14ac:dyDescent="0.35">
      <c r="B289" s="3"/>
      <c r="C289" s="10" t="s">
        <v>194</v>
      </c>
      <c r="D289" s="7">
        <v>2.1299999999999999E-2</v>
      </c>
      <c r="E289" s="7">
        <v>1.933E-2</v>
      </c>
      <c r="H289" s="3"/>
      <c r="I289" s="10" t="s">
        <v>194</v>
      </c>
      <c r="J289" s="7">
        <v>-2E-3</v>
      </c>
      <c r="K289" s="7">
        <v>7.6E-3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2:22" x14ac:dyDescent="0.3">
      <c r="B290" s="3"/>
      <c r="C290" s="10" t="s">
        <v>195</v>
      </c>
      <c r="D290" s="7">
        <v>2.3519999999999999E-2</v>
      </c>
      <c r="E290" s="7">
        <v>2.1139999999999999E-2</v>
      </c>
      <c r="H290" s="3"/>
      <c r="I290" s="10" t="s">
        <v>195</v>
      </c>
      <c r="J290" s="7">
        <v>-1.9E-2</v>
      </c>
      <c r="K290" s="7">
        <v>2.0999999999999999E-3</v>
      </c>
      <c r="L290" s="3"/>
      <c r="M290" s="3"/>
      <c r="N290" s="86" t="s">
        <v>223</v>
      </c>
      <c r="O290" s="86"/>
      <c r="P290" s="3"/>
      <c r="Q290" s="3"/>
      <c r="R290" s="3"/>
      <c r="S290" s="3"/>
      <c r="T290" s="3"/>
      <c r="U290" s="3"/>
      <c r="V290" s="3"/>
    </row>
    <row r="291" spans="2:22" x14ac:dyDescent="0.3">
      <c r="B291" s="3"/>
      <c r="C291" s="10" t="s">
        <v>196</v>
      </c>
      <c r="D291" s="7">
        <v>5.3539999999999997E-2</v>
      </c>
      <c r="E291" s="7">
        <v>1.0880000000000001E-2</v>
      </c>
      <c r="H291" s="3"/>
      <c r="I291" s="10" t="s">
        <v>196</v>
      </c>
      <c r="J291" s="7">
        <v>2.5600000000000001E-2</v>
      </c>
      <c r="K291" s="7">
        <v>-6.9999999999999999E-4</v>
      </c>
      <c r="L291" s="3"/>
      <c r="M291" s="3"/>
      <c r="N291" s="3" t="s">
        <v>224</v>
      </c>
      <c r="O291" s="3">
        <v>0.438635147</v>
      </c>
      <c r="P291" s="3"/>
      <c r="Q291" s="3"/>
      <c r="R291" s="3"/>
      <c r="S291" s="3"/>
      <c r="T291" s="3"/>
      <c r="U291" s="3"/>
      <c r="V291" s="3"/>
    </row>
    <row r="292" spans="2:22" x14ac:dyDescent="0.3">
      <c r="B292" s="3"/>
      <c r="C292" s="10" t="s">
        <v>197</v>
      </c>
      <c r="D292" s="7">
        <v>-0.14346999999999999</v>
      </c>
      <c r="E292" s="7">
        <v>1.925E-2</v>
      </c>
      <c r="H292" s="3"/>
      <c r="I292" s="10" t="s">
        <v>197</v>
      </c>
      <c r="J292" s="7">
        <v>-9.8199999999999996E-2</v>
      </c>
      <c r="K292" s="7">
        <v>1.24E-2</v>
      </c>
      <c r="L292" s="3"/>
      <c r="M292" s="3"/>
      <c r="N292" s="3" t="s">
        <v>225</v>
      </c>
      <c r="O292" s="3">
        <v>0.19240079199999999</v>
      </c>
      <c r="P292" s="3"/>
      <c r="Q292" s="3"/>
      <c r="R292" s="3"/>
      <c r="S292" s="3"/>
      <c r="T292" s="3"/>
      <c r="U292" s="3"/>
      <c r="V292" s="3"/>
    </row>
    <row r="293" spans="2:22" x14ac:dyDescent="0.3">
      <c r="B293" s="3"/>
      <c r="C293" s="10" t="s">
        <v>198</v>
      </c>
      <c r="D293" s="7">
        <v>-0.10600999999999999</v>
      </c>
      <c r="E293" s="7">
        <v>-2.69E-2</v>
      </c>
      <c r="H293" s="3"/>
      <c r="I293" s="10" t="s">
        <v>198</v>
      </c>
      <c r="J293" s="7">
        <v>-8.6999999999999994E-2</v>
      </c>
      <c r="K293" s="7">
        <v>-4.7000000000000002E-3</v>
      </c>
      <c r="L293" s="3"/>
      <c r="M293" s="3"/>
      <c r="N293" s="3" t="s">
        <v>226</v>
      </c>
      <c r="O293" s="3">
        <v>0.178476668</v>
      </c>
      <c r="P293" s="3"/>
      <c r="Q293" s="3"/>
      <c r="R293" s="3"/>
      <c r="S293" s="3"/>
      <c r="T293" s="3"/>
      <c r="U293" s="3"/>
      <c r="V293" s="3"/>
    </row>
    <row r="294" spans="2:22" x14ac:dyDescent="0.3">
      <c r="B294" s="3"/>
      <c r="C294" s="10" t="s">
        <v>199</v>
      </c>
      <c r="D294" s="7">
        <v>-9.8720000000000002E-2</v>
      </c>
      <c r="E294" s="7">
        <v>-1.16E-3</v>
      </c>
      <c r="H294" s="3"/>
      <c r="I294" s="10" t="s">
        <v>199</v>
      </c>
      <c r="J294" s="7">
        <v>-7.1800000000000003E-2</v>
      </c>
      <c r="K294" s="7">
        <v>2.1299999999999999E-2</v>
      </c>
      <c r="L294" s="3"/>
      <c r="M294" s="3"/>
      <c r="N294" s="3" t="s">
        <v>227</v>
      </c>
      <c r="O294" s="3">
        <v>6.7555150999999994E-2</v>
      </c>
      <c r="P294" s="3"/>
      <c r="Q294" s="3"/>
      <c r="R294" s="3"/>
      <c r="S294" s="3"/>
      <c r="T294" s="3"/>
      <c r="U294" s="3"/>
      <c r="V294" s="3"/>
    </row>
    <row r="295" spans="2:22" ht="15" thickBot="1" x14ac:dyDescent="0.35">
      <c r="B295" s="3"/>
      <c r="C295" s="11">
        <v>44530</v>
      </c>
      <c r="D295" s="7">
        <v>3.5549999999999998E-2</v>
      </c>
      <c r="E295" s="7">
        <v>-9.2399999999999999E-3</v>
      </c>
      <c r="H295" s="3"/>
      <c r="I295" s="11">
        <v>44530</v>
      </c>
      <c r="J295" s="7">
        <v>1.1299999999999999E-2</v>
      </c>
      <c r="K295" s="7">
        <v>-2.46E-2</v>
      </c>
      <c r="L295" s="3"/>
      <c r="M295" s="3"/>
      <c r="N295" s="13" t="s">
        <v>228</v>
      </c>
      <c r="O295" s="13">
        <v>60</v>
      </c>
      <c r="P295" s="3"/>
      <c r="Q295" s="3"/>
      <c r="R295" s="3"/>
      <c r="S295" s="3"/>
      <c r="T295" s="3"/>
      <c r="U295" s="3"/>
      <c r="V295" s="3"/>
    </row>
    <row r="296" spans="2:22" x14ac:dyDescent="0.3">
      <c r="B296" s="3"/>
      <c r="C296" s="10" t="s">
        <v>92</v>
      </c>
      <c r="D296" s="7">
        <v>7.0699999999999999E-2</v>
      </c>
      <c r="E296" s="7">
        <v>2.5989999999999999E-2</v>
      </c>
      <c r="H296" s="3"/>
      <c r="I296" s="10" t="s">
        <v>92</v>
      </c>
      <c r="J296" s="7">
        <v>6.0699999999999997E-2</v>
      </c>
      <c r="K296" s="7">
        <v>4.6100000000000002E-2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2:22" ht="15" thickBot="1" x14ac:dyDescent="0.35">
      <c r="B297" s="3"/>
      <c r="C297" s="10" t="s">
        <v>200</v>
      </c>
      <c r="D297" s="7">
        <v>0.11437</v>
      </c>
      <c r="E297" s="7">
        <v>-6.3539999999999999E-2</v>
      </c>
      <c r="H297" s="3"/>
      <c r="I297" s="10" t="s">
        <v>200</v>
      </c>
      <c r="J297" s="7">
        <v>5.9900000000000002E-2</v>
      </c>
      <c r="K297" s="7">
        <v>1.0800000000000001E-2</v>
      </c>
      <c r="L297" s="3"/>
      <c r="M297" s="3"/>
      <c r="N297" s="3" t="s">
        <v>229</v>
      </c>
      <c r="O297" s="3"/>
      <c r="P297" s="3"/>
      <c r="Q297" s="3"/>
      <c r="R297" s="3"/>
      <c r="S297" s="3"/>
      <c r="T297" s="3"/>
      <c r="U297" s="3"/>
      <c r="V297" s="3"/>
    </row>
    <row r="298" spans="2:22" x14ac:dyDescent="0.3">
      <c r="B298" s="3"/>
      <c r="C298" s="11">
        <v>44620</v>
      </c>
      <c r="D298" s="7">
        <v>5.9249999999999997E-2</v>
      </c>
      <c r="E298" s="7">
        <v>1.112E-2</v>
      </c>
      <c r="H298" s="3"/>
      <c r="I298" s="11">
        <v>44620</v>
      </c>
      <c r="J298" s="7">
        <v>0.1169</v>
      </c>
      <c r="K298" s="7">
        <v>-8.0000000000000004E-4</v>
      </c>
      <c r="L298" s="3"/>
      <c r="M298" s="3"/>
      <c r="N298" s="14"/>
      <c r="O298" s="14" t="s">
        <v>230</v>
      </c>
      <c r="P298" s="14" t="s">
        <v>231</v>
      </c>
      <c r="Q298" s="14" t="s">
        <v>232</v>
      </c>
      <c r="R298" s="14" t="s">
        <v>233</v>
      </c>
      <c r="S298" s="14" t="s">
        <v>234</v>
      </c>
      <c r="T298" s="3"/>
      <c r="U298" s="3"/>
      <c r="V298" s="3"/>
    </row>
    <row r="299" spans="2:22" x14ac:dyDescent="0.3">
      <c r="B299" s="3"/>
      <c r="C299" s="11">
        <v>44651</v>
      </c>
      <c r="D299" s="7">
        <v>1.5219999999999999E-2</v>
      </c>
      <c r="E299" s="7">
        <v>6.3909999999999995E-2</v>
      </c>
      <c r="H299" s="3"/>
      <c r="I299" s="11">
        <v>44651</v>
      </c>
      <c r="J299" s="7">
        <v>5.8400000000000001E-2</v>
      </c>
      <c r="K299" s="7">
        <v>7.7000000000000002E-3</v>
      </c>
      <c r="L299" s="3"/>
      <c r="M299" s="3"/>
      <c r="N299" s="3" t="s">
        <v>235</v>
      </c>
      <c r="O299" s="3">
        <v>1</v>
      </c>
      <c r="P299" s="3">
        <v>6.3060280999999996E-2</v>
      </c>
      <c r="Q299" s="3">
        <v>6.3060280999999996E-2</v>
      </c>
      <c r="R299" s="3">
        <v>13.817801960000001</v>
      </c>
      <c r="S299" s="3">
        <v>4.55513E-4</v>
      </c>
      <c r="T299" s="3"/>
      <c r="U299" s="3"/>
      <c r="V299" s="3"/>
    </row>
    <row r="300" spans="2:22" x14ac:dyDescent="0.3">
      <c r="B300" s="3"/>
      <c r="C300" s="11">
        <v>44681</v>
      </c>
      <c r="D300" s="7">
        <v>-5.2720000000000003E-2</v>
      </c>
      <c r="E300" s="7">
        <v>-8.6099999999999996E-3</v>
      </c>
      <c r="H300" s="3"/>
      <c r="I300" s="11">
        <v>44681</v>
      </c>
      <c r="J300" s="7">
        <v>-6.1699999999999998E-2</v>
      </c>
      <c r="K300" s="7">
        <v>3.8E-3</v>
      </c>
      <c r="L300" s="3"/>
      <c r="M300" s="3"/>
      <c r="N300" s="3" t="s">
        <v>236</v>
      </c>
      <c r="O300" s="3">
        <v>58</v>
      </c>
      <c r="P300" s="3">
        <v>0.264694508</v>
      </c>
      <c r="Q300" s="3">
        <v>4.5636979999999997E-3</v>
      </c>
      <c r="R300" s="3"/>
      <c r="S300" s="3"/>
      <c r="T300" s="3"/>
      <c r="U300" s="3"/>
      <c r="V300" s="3"/>
    </row>
    <row r="301" spans="2:22" ht="15" thickBot="1" x14ac:dyDescent="0.35">
      <c r="B301" s="3"/>
      <c r="C301" s="10" t="s">
        <v>201</v>
      </c>
      <c r="D301" s="7">
        <v>1.436E-2</v>
      </c>
      <c r="E301" s="7">
        <v>-3.0099999999999998E-2</v>
      </c>
      <c r="H301" s="3"/>
      <c r="I301" s="10" t="s">
        <v>201</v>
      </c>
      <c r="J301" s="7">
        <v>7.7000000000000002E-3</v>
      </c>
      <c r="K301" s="7">
        <v>8.3999999999999995E-3</v>
      </c>
      <c r="L301" s="3"/>
      <c r="M301" s="3"/>
      <c r="N301" s="13" t="s">
        <v>237</v>
      </c>
      <c r="O301" s="13">
        <v>59</v>
      </c>
      <c r="P301" s="13">
        <v>0.32775478899999999</v>
      </c>
      <c r="Q301" s="13"/>
      <c r="R301" s="13"/>
      <c r="S301" s="13"/>
      <c r="T301" s="3"/>
      <c r="U301" s="3"/>
      <c r="V301" s="3"/>
    </row>
    <row r="302" spans="2:22" ht="15" thickBot="1" x14ac:dyDescent="0.35">
      <c r="B302" s="3"/>
      <c r="C302" s="10" t="s">
        <v>202</v>
      </c>
      <c r="D302" s="7">
        <v>-0.10266</v>
      </c>
      <c r="E302" s="7">
        <v>-8.9179999999999995E-2</v>
      </c>
      <c r="H302" s="3"/>
      <c r="I302" s="10" t="s">
        <v>202</v>
      </c>
      <c r="J302" s="7">
        <v>-0.14499999999999999</v>
      </c>
      <c r="K302" s="7">
        <v>-5.7599999999999998E-2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2:22" x14ac:dyDescent="0.3">
      <c r="B303" s="3"/>
      <c r="C303" s="10" t="s">
        <v>203</v>
      </c>
      <c r="D303" s="7">
        <v>-4.7419999999999997E-2</v>
      </c>
      <c r="E303" s="7">
        <v>5.7410000000000003E-2</v>
      </c>
      <c r="H303" s="3"/>
      <c r="I303" s="10" t="s">
        <v>203</v>
      </c>
      <c r="J303" s="7">
        <v>1.6000000000000001E-3</v>
      </c>
      <c r="K303" s="7">
        <v>3.5400000000000001E-2</v>
      </c>
      <c r="L303" s="3"/>
      <c r="M303" s="3"/>
      <c r="N303" s="14"/>
      <c r="O303" s="14" t="s">
        <v>238</v>
      </c>
      <c r="P303" s="14" t="s">
        <v>227</v>
      </c>
      <c r="Q303" s="14" t="s">
        <v>239</v>
      </c>
      <c r="R303" s="14" t="s">
        <v>240</v>
      </c>
      <c r="S303" s="14" t="s">
        <v>241</v>
      </c>
      <c r="T303" s="14" t="s">
        <v>242</v>
      </c>
      <c r="U303" s="14" t="s">
        <v>243</v>
      </c>
      <c r="V303" s="14" t="s">
        <v>244</v>
      </c>
    </row>
    <row r="304" spans="2:22" x14ac:dyDescent="0.3">
      <c r="B304" s="3"/>
      <c r="C304" s="10" t="s">
        <v>204</v>
      </c>
      <c r="D304" s="7">
        <v>-3.4040000000000001E-2</v>
      </c>
      <c r="E304" s="7">
        <v>5.9899999999999997E-3</v>
      </c>
      <c r="H304" s="3"/>
      <c r="I304" s="10" t="s">
        <v>204</v>
      </c>
      <c r="J304" s="7">
        <v>-3.1199999999999999E-2</v>
      </c>
      <c r="K304" s="7">
        <v>-1.8800000000000001E-2</v>
      </c>
      <c r="L304" s="3"/>
      <c r="M304" s="3"/>
      <c r="N304" s="3" t="s">
        <v>245</v>
      </c>
      <c r="O304" s="3">
        <v>4.0392630000000004E-3</v>
      </c>
      <c r="P304" s="3">
        <v>8.7401409999999999E-3</v>
      </c>
      <c r="Q304" s="3">
        <v>0.46215078300000001</v>
      </c>
      <c r="R304" s="3">
        <v>0.64570216599999997</v>
      </c>
      <c r="S304" s="3">
        <v>-1.3456029E-2</v>
      </c>
      <c r="T304" s="3">
        <v>2.1534555E-2</v>
      </c>
      <c r="U304" s="3">
        <v>-1.3456029E-2</v>
      </c>
      <c r="V304" s="3">
        <v>2.1534555E-2</v>
      </c>
    </row>
    <row r="305" spans="2:22" ht="15" thickBot="1" x14ac:dyDescent="0.35">
      <c r="B305" s="3"/>
      <c r="C305" s="10" t="s">
        <v>118</v>
      </c>
      <c r="D305" s="7">
        <v>-1.175E-2</v>
      </c>
      <c r="E305" s="7">
        <v>-7.3370000000000005E-2</v>
      </c>
      <c r="H305" s="3"/>
      <c r="I305" s="10" t="s">
        <v>118</v>
      </c>
      <c r="J305" s="7">
        <v>2.6200000000000001E-2</v>
      </c>
      <c r="K305" s="7">
        <v>-5.3600000000000002E-2</v>
      </c>
      <c r="L305" s="3"/>
      <c r="M305" s="3"/>
      <c r="N305" s="13" t="s">
        <v>246</v>
      </c>
      <c r="O305" s="16">
        <v>0.82475052100000001</v>
      </c>
      <c r="P305" s="13">
        <v>0.22187231600000001</v>
      </c>
      <c r="Q305" s="13">
        <v>3.717230416</v>
      </c>
      <c r="R305" s="13">
        <v>4.55513E-4</v>
      </c>
      <c r="S305" s="13">
        <v>0.380624827</v>
      </c>
      <c r="T305" s="13">
        <v>1.2688762149999999</v>
      </c>
      <c r="U305" s="13">
        <v>0.380624827</v>
      </c>
      <c r="V305" s="13">
        <v>1.2688762149999999</v>
      </c>
    </row>
    <row r="306" spans="2:22" x14ac:dyDescent="0.3">
      <c r="B306" s="3"/>
      <c r="C306" s="10" t="s">
        <v>205</v>
      </c>
      <c r="D306" s="7">
        <v>-5.5570000000000001E-2</v>
      </c>
      <c r="E306" s="7">
        <v>6.0130000000000003E-2</v>
      </c>
      <c r="H306" s="3"/>
      <c r="I306" s="10" t="s">
        <v>205</v>
      </c>
      <c r="J306" s="7">
        <v>-7.3300000000000004E-2</v>
      </c>
      <c r="K306" s="7">
        <v>2.9100000000000001E-2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2:22" x14ac:dyDescent="0.3">
      <c r="B307" s="3"/>
      <c r="C307" s="11">
        <v>44895</v>
      </c>
      <c r="D307" s="7">
        <v>0.24285999999999999</v>
      </c>
      <c r="E307" s="7">
        <v>6.13E-2</v>
      </c>
      <c r="H307" s="3"/>
      <c r="I307" s="11">
        <v>44895</v>
      </c>
      <c r="J307" s="7">
        <v>0.23100000000000001</v>
      </c>
      <c r="K307" s="7">
        <v>6.7400000000000002E-2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2:22" x14ac:dyDescent="0.3">
      <c r="B308" s="3"/>
      <c r="C308" s="10" t="s">
        <v>206</v>
      </c>
      <c r="D308" s="7">
        <v>6.1940000000000002E-2</v>
      </c>
      <c r="E308" s="7">
        <v>-3.3700000000000001E-2</v>
      </c>
      <c r="H308" s="3"/>
      <c r="I308" s="10" t="s">
        <v>206</v>
      </c>
      <c r="J308" s="7">
        <v>3.8100000000000002E-2</v>
      </c>
      <c r="K308" s="7">
        <v>-1.6E-2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2:22" x14ac:dyDescent="0.3">
      <c r="B309" s="3"/>
      <c r="C309" s="10" t="s">
        <v>207</v>
      </c>
      <c r="D309" s="7">
        <v>8.788E-2</v>
      </c>
      <c r="E309" s="7">
        <v>6.2230000000000001E-2</v>
      </c>
      <c r="H309" s="3"/>
      <c r="I309" s="10" t="s">
        <v>207</v>
      </c>
      <c r="J309" s="7">
        <v>8.9899999999999994E-2</v>
      </c>
      <c r="K309" s="7">
        <v>4.2900000000000001E-2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2:22" x14ac:dyDescent="0.3">
      <c r="B310" s="3"/>
      <c r="C310" s="11">
        <v>44985</v>
      </c>
      <c r="D310" s="7">
        <v>-7.825E-2</v>
      </c>
      <c r="E310" s="7">
        <v>-2.92E-2</v>
      </c>
      <c r="H310" s="3"/>
      <c r="I310" s="11">
        <v>44985</v>
      </c>
      <c r="J310" s="7">
        <v>-9.6100000000000005E-2</v>
      </c>
      <c r="K310" s="7">
        <v>1.35E-2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2:22" x14ac:dyDescent="0.3">
      <c r="B311" s="3"/>
      <c r="C311" s="11">
        <v>45016</v>
      </c>
      <c r="D311" s="7">
        <v>2.921E-2</v>
      </c>
      <c r="E311" s="7">
        <v>-1.11E-2</v>
      </c>
      <c r="H311" s="3"/>
      <c r="I311" s="11">
        <v>45016</v>
      </c>
      <c r="J311" s="7">
        <v>-4.1000000000000002E-2</v>
      </c>
      <c r="K311" s="7">
        <v>-3.1E-2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2:22" x14ac:dyDescent="0.3">
      <c r="B312" s="3"/>
      <c r="C312" s="11">
        <v>45046</v>
      </c>
      <c r="D312" s="7">
        <v>-6.5670000000000006E-2</v>
      </c>
      <c r="E312" s="7">
        <v>1.831E-2</v>
      </c>
      <c r="H312" s="3"/>
      <c r="I312" s="11">
        <v>45046</v>
      </c>
      <c r="J312" s="7">
        <v>-7.8299999999999995E-2</v>
      </c>
      <c r="K312" s="7">
        <v>3.1300000000000001E-2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2:22" x14ac:dyDescent="0.3">
      <c r="B313" s="3"/>
      <c r="C313" s="10" t="s">
        <v>208</v>
      </c>
      <c r="D313" s="7">
        <v>-4.6769999999999999E-2</v>
      </c>
      <c r="E313" s="7">
        <v>-2.981E-2</v>
      </c>
      <c r="H313" s="3"/>
      <c r="I313" s="10" t="s">
        <v>208</v>
      </c>
      <c r="J313" s="7">
        <v>-5.2900000000000003E-2</v>
      </c>
      <c r="K313" s="7">
        <v>-5.3900000000000003E-2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2:22" x14ac:dyDescent="0.3">
      <c r="B314" s="3"/>
      <c r="C314" s="10" t="s">
        <v>140</v>
      </c>
      <c r="D314" s="7">
        <v>7.1870000000000003E-2</v>
      </c>
      <c r="E314" s="7">
        <v>1.5789999999999998E-2</v>
      </c>
      <c r="H314" s="3"/>
      <c r="I314" s="10" t="s">
        <v>140</v>
      </c>
      <c r="J314" s="7">
        <v>4.2599999999999999E-2</v>
      </c>
      <c r="K314" s="7">
        <v>1.15E-2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2:22" x14ac:dyDescent="0.3">
      <c r="B315" s="3"/>
      <c r="C315" s="10" t="s">
        <v>209</v>
      </c>
      <c r="D315" s="7">
        <v>2.0750000000000001E-2</v>
      </c>
      <c r="E315" s="7">
        <v>2.8750000000000001E-2</v>
      </c>
      <c r="H315" s="3"/>
      <c r="I315" s="10" t="s">
        <v>209</v>
      </c>
      <c r="J315" s="7">
        <v>3.3000000000000002E-2</v>
      </c>
      <c r="K315" s="7">
        <v>2.23E-2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2:22" x14ac:dyDescent="0.3">
      <c r="B316" s="3"/>
      <c r="C316" s="10" t="s">
        <v>210</v>
      </c>
      <c r="D316" s="7">
        <v>-3.5619999999999999E-2</v>
      </c>
      <c r="E316" s="7">
        <v>-1.418E-2</v>
      </c>
      <c r="H316" s="3"/>
      <c r="I316" s="10" t="s">
        <v>210</v>
      </c>
      <c r="J316" s="7">
        <v>-5.3900000000000003E-2</v>
      </c>
      <c r="K316" s="7">
        <v>-3.3799999999999997E-2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2:22" x14ac:dyDescent="0.3">
      <c r="B317" s="3"/>
      <c r="C317" s="10" t="s">
        <v>211</v>
      </c>
      <c r="D317" s="7">
        <v>5.7600000000000004E-3</v>
      </c>
      <c r="E317" s="7">
        <v>-3.5139999999999998E-2</v>
      </c>
      <c r="H317" s="3"/>
      <c r="I317" s="10" t="s">
        <v>211</v>
      </c>
      <c r="J317" s="7">
        <v>6.1899999999999997E-2</v>
      </c>
      <c r="K317" s="7">
        <v>2.2700000000000001E-2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2:22" x14ac:dyDescent="0.3">
      <c r="B318" s="3"/>
      <c r="C318" s="10" t="s">
        <v>212</v>
      </c>
      <c r="D318" s="7">
        <v>3.5490000000000001E-2</v>
      </c>
      <c r="E318" s="7">
        <v>-3.8010000000000002E-2</v>
      </c>
      <c r="H318" s="3"/>
      <c r="I318" s="10" t="s">
        <v>212</v>
      </c>
      <c r="J318" s="7">
        <v>1.5699999999999999E-2</v>
      </c>
      <c r="K318" s="7">
        <v>-3.7600000000000001E-2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2:22" x14ac:dyDescent="0.3">
      <c r="B319" s="3"/>
      <c r="C319" s="11">
        <v>45260</v>
      </c>
      <c r="D319" s="7">
        <v>6.3450000000000006E-2</v>
      </c>
      <c r="E319" s="7">
        <v>4.5220000000000003E-2</v>
      </c>
      <c r="H319" s="3"/>
      <c r="I319" s="11">
        <v>45260</v>
      </c>
      <c r="J319" s="7">
        <v>2.7400000000000001E-2</v>
      </c>
      <c r="K319" s="7">
        <v>1.7999999999999999E-2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2:22" x14ac:dyDescent="0.3">
      <c r="B320" s="3"/>
      <c r="C320" s="10" t="s">
        <v>213</v>
      </c>
      <c r="D320" s="7">
        <v>8.4930000000000005E-2</v>
      </c>
      <c r="E320" s="7">
        <v>7.1040000000000006E-2</v>
      </c>
      <c r="H320" s="3"/>
      <c r="I320" s="10" t="s">
        <v>213</v>
      </c>
      <c r="J320" s="7">
        <v>8.2100000000000006E-2</v>
      </c>
      <c r="K320" s="7">
        <v>3.7499999999999999E-2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2:22" x14ac:dyDescent="0.3">
      <c r="B321" s="3"/>
      <c r="C321" s="10" t="s">
        <v>214</v>
      </c>
      <c r="D321" s="7">
        <v>-2.0199999999999999E-2</v>
      </c>
      <c r="E321" s="7">
        <v>1.184E-2</v>
      </c>
      <c r="H321" s="3"/>
      <c r="I321" s="10" t="s">
        <v>214</v>
      </c>
      <c r="J321" s="7">
        <v>-5.8000000000000003E-2</v>
      </c>
      <c r="K321" s="7">
        <v>-1.3299999999999999E-2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2:22" x14ac:dyDescent="0.3">
      <c r="B322" s="3"/>
      <c r="C322" s="11">
        <v>45351</v>
      </c>
      <c r="D322" s="7">
        <v>-6.8760000000000002E-2</v>
      </c>
      <c r="E322" s="7">
        <v>2.3400000000000001E-3</v>
      </c>
      <c r="H322" s="3"/>
      <c r="I322" s="11">
        <v>45351</v>
      </c>
      <c r="J322" s="7">
        <v>-7.6999999999999999E-2</v>
      </c>
      <c r="K322" s="7">
        <v>-1E-4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2:22" x14ac:dyDescent="0.3">
      <c r="B323" s="3"/>
      <c r="C323" s="11">
        <v>45382</v>
      </c>
      <c r="D323" s="7">
        <v>-1.6320000000000001E-2</v>
      </c>
      <c r="E323" s="7">
        <v>2.5739999999999999E-2</v>
      </c>
      <c r="H323" s="3"/>
      <c r="I323" s="11">
        <v>45382</v>
      </c>
      <c r="J323" s="7">
        <v>-1.2200000000000001E-2</v>
      </c>
      <c r="K323" s="7">
        <v>4.2299999999999997E-2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2:22" x14ac:dyDescent="0.3">
      <c r="B324" s="3"/>
      <c r="C324" s="11">
        <v>45412</v>
      </c>
      <c r="D324" s="7">
        <v>7.17E-2</v>
      </c>
      <c r="E324" s="7">
        <v>-2.9479999999999999E-2</v>
      </c>
      <c r="H324" s="3"/>
      <c r="I324" s="11">
        <v>45412</v>
      </c>
      <c r="J324" s="7">
        <v>9.0700000000000003E-2</v>
      </c>
      <c r="K324" s="7">
        <v>2.41E-2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2:22" x14ac:dyDescent="0.3">
      <c r="B325" s="3"/>
      <c r="C325" s="10" t="s">
        <v>171</v>
      </c>
      <c r="D325" s="7">
        <v>-1.1730000000000001E-2</v>
      </c>
      <c r="E325" s="7">
        <v>4.9100000000000003E-3</v>
      </c>
      <c r="H325" s="3"/>
      <c r="I325" s="10" t="s">
        <v>171</v>
      </c>
      <c r="J325" s="7">
        <v>6.9999999999999999E-4</v>
      </c>
      <c r="K325" s="7">
        <v>1.61E-2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2:22" x14ac:dyDescent="0.3">
      <c r="B326" s="3"/>
      <c r="C326" s="10" t="s">
        <v>215</v>
      </c>
      <c r="D326" s="7">
        <v>-7.7229999999999993E-2</v>
      </c>
      <c r="E326" s="7">
        <v>8.5400000000000007E-3</v>
      </c>
      <c r="H326" s="3"/>
      <c r="I326" s="10" t="s">
        <v>215</v>
      </c>
      <c r="J326" s="7">
        <v>-5.0200000000000002E-2</v>
      </c>
      <c r="K326" s="7">
        <v>-1.34E-2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2:22" x14ac:dyDescent="0.3">
      <c r="B327" s="3"/>
      <c r="C327" s="10" t="s">
        <v>216</v>
      </c>
      <c r="D327" s="7">
        <v>-1.277E-2</v>
      </c>
      <c r="E327" s="7">
        <v>4.1820000000000003E-2</v>
      </c>
      <c r="H327" s="3"/>
      <c r="I327" s="10" t="s">
        <v>216</v>
      </c>
      <c r="J327" s="7">
        <v>-3.3599999999999998E-2</v>
      </c>
      <c r="K327" s="7">
        <v>2.5000000000000001E-2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2:22" x14ac:dyDescent="0.3">
      <c r="B328" s="3"/>
      <c r="C328" s="10" t="s">
        <v>217</v>
      </c>
      <c r="D328" s="7">
        <v>6.8100000000000001E-3</v>
      </c>
      <c r="E328" s="7">
        <v>-4.5179999999999998E-2</v>
      </c>
      <c r="H328" s="3"/>
      <c r="I328" s="10" t="s">
        <v>217</v>
      </c>
      <c r="J328" s="7">
        <v>-2.2499999999999999E-2</v>
      </c>
      <c r="K328" s="7">
        <v>-4.0800000000000003E-2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</sheetData>
  <mergeCells count="4">
    <mergeCell ref="N270:O270"/>
    <mergeCell ref="N290:O290"/>
    <mergeCell ref="M6:N6"/>
    <mergeCell ref="M27:N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D646-6E85-49CA-ADB6-C8C8C4598657}">
  <dimension ref="A1:T46"/>
  <sheetViews>
    <sheetView zoomScaleNormal="100" workbookViewId="0">
      <selection activeCell="N13" sqref="N13"/>
    </sheetView>
  </sheetViews>
  <sheetFormatPr defaultRowHeight="14.4" x14ac:dyDescent="0.3"/>
  <cols>
    <col min="1" max="1" width="11.5546875" bestFit="1" customWidth="1"/>
    <col min="2" max="2" width="19" bestFit="1" customWidth="1"/>
    <col min="3" max="3" width="13.6640625" bestFit="1" customWidth="1"/>
    <col min="4" max="4" width="13.33203125" bestFit="1" customWidth="1"/>
    <col min="5" max="6" width="16.33203125" bestFit="1" customWidth="1"/>
    <col min="7" max="7" width="25.33203125" bestFit="1" customWidth="1"/>
    <col min="8" max="9" width="16.33203125" bestFit="1" customWidth="1"/>
    <col min="11" max="11" width="14.88671875" bestFit="1" customWidth="1"/>
    <col min="12" max="12" width="14.44140625" bestFit="1" customWidth="1"/>
    <col min="13" max="15" width="12" bestFit="1" customWidth="1"/>
    <col min="17" max="17" width="14.44140625" bestFit="1" customWidth="1"/>
  </cols>
  <sheetData>
    <row r="1" spans="1:20" x14ac:dyDescent="0.3">
      <c r="A1" s="43"/>
      <c r="B1" s="43"/>
      <c r="C1" s="43"/>
      <c r="D1" s="43"/>
      <c r="E1" s="77"/>
      <c r="F1" s="77"/>
      <c r="G1" s="77" t="s">
        <v>254</v>
      </c>
      <c r="H1" s="77"/>
      <c r="I1" s="77"/>
      <c r="J1" s="77"/>
      <c r="K1" s="3"/>
      <c r="L1" s="3" t="s">
        <v>427</v>
      </c>
      <c r="M1" s="3"/>
      <c r="N1" s="3"/>
      <c r="O1" s="3"/>
    </row>
    <row r="2" spans="1:20" x14ac:dyDescent="0.3">
      <c r="A2" s="43"/>
      <c r="B2" s="43"/>
      <c r="C2" s="43"/>
      <c r="D2" s="43"/>
      <c r="E2" s="77" t="s">
        <v>445</v>
      </c>
      <c r="F2" s="77"/>
      <c r="G2" s="77">
        <v>4.8570000000000002</v>
      </c>
      <c r="H2" s="77"/>
      <c r="I2" s="77"/>
      <c r="J2" s="77"/>
      <c r="N2" s="3"/>
      <c r="O2" s="3"/>
    </row>
    <row r="3" spans="1:20" x14ac:dyDescent="0.3">
      <c r="A3" s="43" t="s">
        <v>441</v>
      </c>
      <c r="B3" s="43" t="s">
        <v>442</v>
      </c>
      <c r="C3" s="43"/>
      <c r="D3" s="43"/>
      <c r="E3" s="77">
        <v>2024</v>
      </c>
      <c r="F3" s="77">
        <v>2025</v>
      </c>
      <c r="G3" s="77">
        <v>2026</v>
      </c>
      <c r="H3" s="77">
        <v>2027</v>
      </c>
      <c r="I3" s="77">
        <v>2028</v>
      </c>
      <c r="J3" s="77"/>
      <c r="N3" s="3"/>
      <c r="O3" s="3"/>
      <c r="P3" s="23">
        <v>2011</v>
      </c>
      <c r="Q3" s="24" t="s">
        <v>252</v>
      </c>
      <c r="R3" s="24" t="s">
        <v>253</v>
      </c>
      <c r="T3" s="3"/>
    </row>
    <row r="4" spans="1:20" x14ac:dyDescent="0.3">
      <c r="A4" s="3">
        <v>2028</v>
      </c>
      <c r="B4" s="27" t="s">
        <v>252</v>
      </c>
      <c r="C4" s="27" t="s">
        <v>253</v>
      </c>
      <c r="D4" s="28" t="s">
        <v>255</v>
      </c>
      <c r="E4" s="80"/>
      <c r="F4" s="80"/>
      <c r="G4" s="81"/>
      <c r="H4" s="81"/>
      <c r="I4" s="81"/>
      <c r="J4" s="77"/>
      <c r="N4" s="3"/>
      <c r="O4" s="3"/>
      <c r="P4" s="23"/>
      <c r="Q4" s="25">
        <v>41203153</v>
      </c>
      <c r="R4" s="26">
        <v>9.5</v>
      </c>
      <c r="T4" s="3"/>
    </row>
    <row r="5" spans="1:20" x14ac:dyDescent="0.3">
      <c r="A5" s="3"/>
      <c r="B5" s="29">
        <v>1115407496</v>
      </c>
      <c r="C5" s="30">
        <v>7.125</v>
      </c>
      <c r="D5" s="3" t="s">
        <v>256</v>
      </c>
      <c r="E5" s="80">
        <v>79472784</v>
      </c>
      <c r="F5" s="80">
        <v>79472784.090000004</v>
      </c>
      <c r="G5" s="80">
        <v>79472784.090000004</v>
      </c>
      <c r="H5" s="80">
        <v>79472784.090000004</v>
      </c>
      <c r="I5" s="80">
        <v>79472784.090000004</v>
      </c>
      <c r="J5" s="77"/>
      <c r="N5" s="3"/>
      <c r="O5" s="3"/>
      <c r="P5" s="23"/>
      <c r="Q5" s="23"/>
      <c r="R5" s="23"/>
      <c r="T5" s="3"/>
    </row>
    <row r="6" spans="1:20" x14ac:dyDescent="0.3">
      <c r="A6" s="3">
        <v>2040</v>
      </c>
      <c r="B6" s="27" t="s">
        <v>252</v>
      </c>
      <c r="C6" s="27" t="s">
        <v>253</v>
      </c>
      <c r="D6" s="28" t="s">
        <v>255</v>
      </c>
      <c r="E6" s="80"/>
      <c r="F6" s="80"/>
      <c r="G6" s="81"/>
      <c r="H6" s="80"/>
      <c r="I6" s="80"/>
      <c r="J6" s="77"/>
      <c r="N6" s="3"/>
      <c r="O6" s="3"/>
      <c r="P6" s="23">
        <v>2013</v>
      </c>
      <c r="Q6" s="24" t="s">
        <v>252</v>
      </c>
      <c r="R6" s="24" t="s">
        <v>253</v>
      </c>
      <c r="T6" s="3"/>
    </row>
    <row r="7" spans="1:20" x14ac:dyDescent="0.3">
      <c r="A7" s="3"/>
      <c r="B7" s="29">
        <v>1710291493</v>
      </c>
      <c r="C7" s="30">
        <v>5.2</v>
      </c>
      <c r="D7" s="3" t="s">
        <v>256</v>
      </c>
      <c r="E7" s="80">
        <v>88935158</v>
      </c>
      <c r="F7" s="80">
        <v>88935158</v>
      </c>
      <c r="G7" s="80">
        <v>88935158</v>
      </c>
      <c r="H7" s="80">
        <v>88935158</v>
      </c>
      <c r="I7" s="80">
        <v>88935158</v>
      </c>
      <c r="J7" s="77"/>
      <c r="K7" s="29"/>
      <c r="L7" s="3"/>
      <c r="M7" s="3"/>
      <c r="N7" s="3"/>
      <c r="O7" s="3"/>
      <c r="P7" s="23"/>
      <c r="Q7" s="25">
        <v>82406306</v>
      </c>
      <c r="R7" s="26">
        <v>0</v>
      </c>
      <c r="T7" s="3"/>
    </row>
    <row r="8" spans="1:20" x14ac:dyDescent="0.3">
      <c r="A8" s="3">
        <v>2051</v>
      </c>
      <c r="B8" s="27" t="s">
        <v>252</v>
      </c>
      <c r="C8" s="27" t="s">
        <v>253</v>
      </c>
      <c r="D8" s="28" t="s">
        <v>255</v>
      </c>
      <c r="E8" s="80"/>
      <c r="F8" s="80"/>
      <c r="G8" s="80"/>
      <c r="H8" s="80"/>
      <c r="I8" s="80"/>
      <c r="J8" s="77"/>
      <c r="K8" s="3"/>
      <c r="L8" s="3"/>
      <c r="M8" s="3"/>
      <c r="N8" s="3"/>
      <c r="O8" s="3"/>
    </row>
    <row r="9" spans="1:20" x14ac:dyDescent="0.3">
      <c r="A9" s="3"/>
      <c r="B9" s="29">
        <v>1859012493</v>
      </c>
      <c r="C9" s="30">
        <v>2.75</v>
      </c>
      <c r="D9" s="3" t="s">
        <v>256</v>
      </c>
      <c r="E9" s="80">
        <v>51122844</v>
      </c>
      <c r="F9" s="80"/>
      <c r="G9" s="80"/>
      <c r="H9" s="80"/>
      <c r="I9" s="80"/>
      <c r="J9" s="77"/>
      <c r="K9" s="3"/>
      <c r="L9" s="3"/>
      <c r="M9" s="29"/>
      <c r="N9" s="29"/>
      <c r="O9" s="29"/>
      <c r="P9" s="29"/>
      <c r="Q9" s="29"/>
    </row>
    <row r="10" spans="1:20" x14ac:dyDescent="0.3">
      <c r="A10" s="77" t="s">
        <v>321</v>
      </c>
      <c r="B10" s="78">
        <f>SUM(B5,B7,B9)</f>
        <v>4684711482</v>
      </c>
      <c r="C10" s="79"/>
      <c r="D10" s="77"/>
      <c r="E10" s="82">
        <f>SUM(E5:E9)</f>
        <v>219530786</v>
      </c>
      <c r="F10" s="82">
        <f t="shared" ref="F10:I10" si="0">SUM(F5:F9)</f>
        <v>168407942.09</v>
      </c>
      <c r="G10" s="82">
        <f t="shared" si="0"/>
        <v>168407942.09</v>
      </c>
      <c r="H10" s="82">
        <f t="shared" si="0"/>
        <v>168407942.09</v>
      </c>
      <c r="I10" s="82">
        <f t="shared" si="0"/>
        <v>168407942.09</v>
      </c>
      <c r="J10" s="77"/>
    </row>
    <row r="11" spans="1:20" x14ac:dyDescent="0.3">
      <c r="A11" s="3"/>
      <c r="B11" s="3"/>
      <c r="C11" s="3"/>
      <c r="D11" s="3"/>
      <c r="E11" s="80"/>
      <c r="F11" s="80"/>
      <c r="G11" s="80"/>
      <c r="H11" s="80"/>
      <c r="I11" s="80"/>
      <c r="J11" s="77"/>
      <c r="K11" s="3" t="s">
        <v>430</v>
      </c>
      <c r="L11" s="3"/>
      <c r="M11" s="3"/>
      <c r="N11" s="3"/>
      <c r="O11" s="3"/>
    </row>
    <row r="12" spans="1:20" x14ac:dyDescent="0.3">
      <c r="A12" s="77" t="s">
        <v>443</v>
      </c>
      <c r="B12" s="77" t="s">
        <v>442</v>
      </c>
      <c r="C12" s="77"/>
      <c r="D12" s="77"/>
      <c r="E12" s="83"/>
      <c r="F12" s="83"/>
      <c r="G12" s="83"/>
      <c r="H12" s="83"/>
      <c r="I12" s="83"/>
      <c r="J12" s="77"/>
      <c r="K12" s="3"/>
      <c r="L12" s="3"/>
      <c r="M12" s="3"/>
      <c r="N12" s="3"/>
      <c r="O12" s="3"/>
    </row>
    <row r="13" spans="1:20" x14ac:dyDescent="0.3">
      <c r="A13" s="3">
        <v>2024</v>
      </c>
      <c r="B13" s="27" t="s">
        <v>252</v>
      </c>
      <c r="C13" s="27" t="s">
        <v>253</v>
      </c>
      <c r="D13" s="28" t="s">
        <v>255</v>
      </c>
      <c r="E13" s="80"/>
      <c r="F13" s="80"/>
      <c r="G13" s="80"/>
      <c r="H13" s="80"/>
      <c r="I13" s="80"/>
      <c r="J13" s="77"/>
      <c r="K13" s="29"/>
      <c r="L13" s="3"/>
      <c r="M13" s="3"/>
      <c r="N13" s="3"/>
      <c r="O13" s="3"/>
    </row>
    <row r="14" spans="1:20" x14ac:dyDescent="0.3">
      <c r="A14" s="3"/>
      <c r="B14" s="29">
        <v>824063058</v>
      </c>
      <c r="C14" s="30">
        <v>2.875</v>
      </c>
      <c r="D14" s="3" t="s">
        <v>256</v>
      </c>
      <c r="E14" s="80">
        <v>23691813</v>
      </c>
      <c r="F14" s="80">
        <v>0</v>
      </c>
      <c r="G14" s="80">
        <v>0</v>
      </c>
      <c r="H14" s="80">
        <v>0</v>
      </c>
      <c r="I14" s="80">
        <v>0</v>
      </c>
      <c r="J14" s="77"/>
      <c r="K14" s="3"/>
      <c r="L14" s="3"/>
      <c r="M14" s="3"/>
      <c r="N14" s="3"/>
      <c r="O14" s="3"/>
    </row>
    <row r="15" spans="1:20" x14ac:dyDescent="0.3">
      <c r="A15" s="3">
        <v>2028</v>
      </c>
      <c r="B15" s="27" t="s">
        <v>252</v>
      </c>
      <c r="C15" s="27" t="s">
        <v>253</v>
      </c>
      <c r="D15" s="28" t="s">
        <v>255</v>
      </c>
      <c r="E15" s="80"/>
      <c r="F15" s="80"/>
      <c r="G15" s="80"/>
      <c r="H15" s="80"/>
      <c r="I15" s="80"/>
      <c r="J15" s="77"/>
      <c r="K15" s="3"/>
      <c r="L15" s="3"/>
      <c r="M15" s="3"/>
      <c r="N15" s="3"/>
      <c r="O15" s="3"/>
    </row>
    <row r="16" spans="1:20" x14ac:dyDescent="0.3">
      <c r="A16" s="3"/>
      <c r="B16" s="29">
        <v>148720999</v>
      </c>
      <c r="C16" s="30">
        <v>7.25</v>
      </c>
      <c r="D16" s="3" t="s">
        <v>256</v>
      </c>
      <c r="E16" s="80">
        <v>23691813</v>
      </c>
      <c r="F16" s="80">
        <v>0</v>
      </c>
      <c r="G16" s="80">
        <v>0</v>
      </c>
      <c r="H16" s="80">
        <v>0</v>
      </c>
      <c r="I16" s="80">
        <v>0</v>
      </c>
      <c r="J16" s="77"/>
      <c r="K16" s="3"/>
      <c r="L16" s="3"/>
      <c r="M16" s="3"/>
      <c r="N16" s="3"/>
      <c r="O16" s="3"/>
    </row>
    <row r="17" spans="1:15" x14ac:dyDescent="0.3">
      <c r="A17" s="3">
        <v>2029</v>
      </c>
      <c r="B17" s="27" t="s">
        <v>252</v>
      </c>
      <c r="C17" s="27" t="s">
        <v>253</v>
      </c>
      <c r="D17" s="28" t="s">
        <v>255</v>
      </c>
      <c r="E17" s="80"/>
      <c r="F17" s="80"/>
      <c r="G17" s="80"/>
      <c r="H17" s="80"/>
      <c r="I17" s="80"/>
      <c r="J17" s="77"/>
      <c r="K17" s="3"/>
      <c r="L17" s="3"/>
      <c r="M17" s="3"/>
      <c r="N17" s="3"/>
      <c r="O17" s="3"/>
    </row>
    <row r="18" spans="1:15" x14ac:dyDescent="0.3">
      <c r="A18" s="3"/>
      <c r="B18" s="29">
        <v>977245687</v>
      </c>
      <c r="C18" s="30">
        <v>4</v>
      </c>
      <c r="D18" s="3" t="s">
        <v>256</v>
      </c>
      <c r="E18" s="80">
        <v>39089827.479999997</v>
      </c>
      <c r="F18" s="80">
        <v>39089827.479999997</v>
      </c>
      <c r="G18" s="80">
        <v>39089827.479999997</v>
      </c>
      <c r="H18" s="80">
        <v>39089827.479999997</v>
      </c>
      <c r="I18" s="80">
        <v>39089827.479999997</v>
      </c>
      <c r="J18" s="77"/>
      <c r="K18" s="3"/>
      <c r="L18" s="3"/>
      <c r="M18" s="3"/>
      <c r="N18" s="3"/>
      <c r="O18" s="3"/>
    </row>
    <row r="19" spans="1:15" x14ac:dyDescent="0.3">
      <c r="A19" s="3">
        <v>2031</v>
      </c>
      <c r="B19" s="27" t="s">
        <v>252</v>
      </c>
      <c r="C19" s="27" t="s">
        <v>253</v>
      </c>
      <c r="D19" s="28" t="s">
        <v>255</v>
      </c>
      <c r="E19" s="80"/>
      <c r="F19" s="80"/>
      <c r="G19" s="80"/>
      <c r="H19" s="80"/>
      <c r="I19" s="80"/>
      <c r="J19" s="77"/>
      <c r="K19" s="29"/>
      <c r="L19" s="3"/>
      <c r="M19" s="3"/>
      <c r="N19" s="3"/>
      <c r="O19" s="3"/>
    </row>
    <row r="20" spans="1:15" x14ac:dyDescent="0.3">
      <c r="A20" s="3"/>
      <c r="B20" s="29">
        <v>594883998</v>
      </c>
      <c r="C20" s="30">
        <v>7.25</v>
      </c>
      <c r="D20" s="3" t="s">
        <v>256</v>
      </c>
      <c r="E20" s="80">
        <v>43129089.859999999</v>
      </c>
      <c r="F20" s="80">
        <v>43129089.859999999</v>
      </c>
      <c r="G20" s="80">
        <v>43129089.859999999</v>
      </c>
      <c r="H20" s="80">
        <v>43129089.859999999</v>
      </c>
      <c r="I20" s="80">
        <v>43129089.859999999</v>
      </c>
      <c r="J20" s="77"/>
      <c r="K20" s="3"/>
      <c r="L20" s="3"/>
      <c r="M20" s="3"/>
      <c r="N20" s="3"/>
      <c r="O20" s="3"/>
    </row>
    <row r="21" spans="1:15" x14ac:dyDescent="0.3">
      <c r="A21" s="3">
        <v>2033</v>
      </c>
      <c r="B21" s="27" t="s">
        <v>252</v>
      </c>
      <c r="C21" s="27" t="s">
        <v>253</v>
      </c>
      <c r="D21" s="28" t="s">
        <v>255</v>
      </c>
      <c r="E21" s="80"/>
      <c r="F21" s="80"/>
      <c r="G21" s="80"/>
      <c r="H21" s="80"/>
      <c r="I21" s="80"/>
      <c r="J21" s="77"/>
      <c r="K21" s="3"/>
      <c r="L21" s="3"/>
      <c r="M21" s="3"/>
      <c r="N21" s="3"/>
      <c r="O21" s="3"/>
    </row>
    <row r="22" spans="1:15" x14ac:dyDescent="0.3">
      <c r="A22" s="3"/>
      <c r="B22" s="29">
        <v>966686496</v>
      </c>
      <c r="C22" s="30">
        <v>5</v>
      </c>
      <c r="D22" s="3" t="s">
        <v>256</v>
      </c>
      <c r="E22" s="80">
        <v>48334324.799999997</v>
      </c>
      <c r="F22" s="80">
        <v>48334324.799999997</v>
      </c>
      <c r="G22" s="80">
        <v>48334324.799999997</v>
      </c>
      <c r="H22" s="80">
        <v>48334324.799999997</v>
      </c>
      <c r="I22" s="80">
        <v>48334324.799999997</v>
      </c>
      <c r="J22" s="77"/>
      <c r="K22" s="29"/>
      <c r="L22" s="3"/>
      <c r="M22" s="3"/>
      <c r="N22" s="3"/>
      <c r="O22" s="3"/>
    </row>
    <row r="23" spans="1:15" x14ac:dyDescent="0.3">
      <c r="A23" s="3"/>
      <c r="B23" s="29">
        <v>1115407496</v>
      </c>
      <c r="C23" s="30">
        <v>6.125</v>
      </c>
      <c r="D23" s="3" t="s">
        <v>256</v>
      </c>
      <c r="E23" s="80">
        <v>68318709.129999995</v>
      </c>
      <c r="F23" s="80">
        <v>68318709.129999995</v>
      </c>
      <c r="G23" s="80">
        <v>68318709.129999995</v>
      </c>
      <c r="H23" s="80">
        <v>68318709.129999995</v>
      </c>
      <c r="I23" s="80">
        <v>68318709.129999995</v>
      </c>
      <c r="J23" s="77"/>
      <c r="K23" s="3"/>
      <c r="L23" s="3"/>
      <c r="M23" s="3"/>
      <c r="N23" s="3"/>
      <c r="O23" s="3"/>
    </row>
    <row r="24" spans="1:15" x14ac:dyDescent="0.3">
      <c r="A24" s="3">
        <v>2035</v>
      </c>
      <c r="B24" s="27" t="s">
        <v>252</v>
      </c>
      <c r="C24" s="27" t="s">
        <v>253</v>
      </c>
      <c r="D24" s="28" t="s">
        <v>255</v>
      </c>
      <c r="E24" s="80"/>
      <c r="F24" s="80"/>
      <c r="G24" s="80"/>
      <c r="H24" s="80"/>
      <c r="I24" s="80"/>
      <c r="J24" s="77"/>
      <c r="K24" s="3"/>
      <c r="L24" s="3"/>
      <c r="M24" s="3"/>
      <c r="N24" s="3"/>
      <c r="O24" s="3"/>
    </row>
    <row r="25" spans="1:15" x14ac:dyDescent="0.3">
      <c r="A25" s="3"/>
      <c r="B25" s="29">
        <v>446162998</v>
      </c>
      <c r="C25" s="30">
        <v>5.75</v>
      </c>
      <c r="D25" s="3" t="s">
        <v>256</v>
      </c>
      <c r="E25" s="80">
        <v>25654372.390000001</v>
      </c>
      <c r="F25" s="80">
        <v>25654372.390000001</v>
      </c>
      <c r="G25" s="80">
        <v>25654372.390000001</v>
      </c>
      <c r="H25" s="80">
        <v>25654372.390000001</v>
      </c>
      <c r="I25" s="80">
        <v>25654372.390000001</v>
      </c>
      <c r="J25" s="77"/>
      <c r="K25" s="3"/>
      <c r="L25" s="3"/>
      <c r="M25" s="3"/>
      <c r="N25" s="3"/>
      <c r="O25" s="3"/>
    </row>
    <row r="26" spans="1:15" x14ac:dyDescent="0.3">
      <c r="A26" s="3">
        <v>2042</v>
      </c>
      <c r="B26" s="27" t="s">
        <v>252</v>
      </c>
      <c r="C26" s="27" t="s">
        <v>253</v>
      </c>
      <c r="D26" s="28" t="s">
        <v>255</v>
      </c>
      <c r="E26" s="80"/>
      <c r="F26" s="80"/>
      <c r="G26" s="80"/>
      <c r="H26" s="80"/>
      <c r="I26" s="80"/>
      <c r="J26" s="77"/>
      <c r="K26" s="3"/>
      <c r="L26" s="3"/>
      <c r="M26" s="3"/>
      <c r="N26" s="3"/>
      <c r="O26" s="3"/>
    </row>
    <row r="27" spans="1:15" x14ac:dyDescent="0.3">
      <c r="A27" s="3"/>
      <c r="B27" s="29">
        <v>743604997</v>
      </c>
      <c r="C27" s="30">
        <v>4.75</v>
      </c>
      <c r="D27" s="3" t="s">
        <v>256</v>
      </c>
      <c r="E27" s="80">
        <v>35321237.359999999</v>
      </c>
      <c r="F27" s="80">
        <v>35321237.359999999</v>
      </c>
      <c r="G27" s="80">
        <v>35321237.359999999</v>
      </c>
      <c r="H27" s="80">
        <v>35321237.359999999</v>
      </c>
      <c r="I27" s="80">
        <v>35321237.359999999</v>
      </c>
      <c r="J27" s="77"/>
      <c r="K27" s="3"/>
      <c r="L27" s="3"/>
      <c r="M27" s="3"/>
      <c r="N27" s="3"/>
      <c r="O27" s="3"/>
    </row>
    <row r="28" spans="1:15" x14ac:dyDescent="0.3">
      <c r="A28" s="3"/>
      <c r="B28" s="29">
        <v>1115407496</v>
      </c>
      <c r="C28" s="30">
        <v>4.125</v>
      </c>
      <c r="D28" s="3" t="s">
        <v>256</v>
      </c>
      <c r="E28" s="80">
        <v>46010559.210000001</v>
      </c>
      <c r="F28" s="80">
        <v>46010559.210000001</v>
      </c>
      <c r="G28" s="80">
        <v>46010559.210000001</v>
      </c>
      <c r="H28" s="80">
        <v>46010559.210000001</v>
      </c>
      <c r="I28" s="80">
        <v>46010559.210000001</v>
      </c>
      <c r="J28" s="77"/>
      <c r="K28" s="3"/>
      <c r="L28" s="3"/>
      <c r="M28" s="3"/>
      <c r="N28" s="3"/>
      <c r="O28" s="3"/>
    </row>
    <row r="29" spans="1:15" x14ac:dyDescent="0.3">
      <c r="A29" s="3">
        <v>2053</v>
      </c>
      <c r="B29" s="27" t="s">
        <v>252</v>
      </c>
      <c r="C29" s="27" t="s">
        <v>253</v>
      </c>
      <c r="D29" s="28" t="s">
        <v>255</v>
      </c>
      <c r="E29" s="80"/>
      <c r="F29" s="80"/>
      <c r="G29" s="80"/>
      <c r="H29" s="80"/>
      <c r="I29" s="80"/>
      <c r="J29" s="77"/>
      <c r="K29" s="3"/>
      <c r="L29" s="3"/>
      <c r="M29" s="3"/>
      <c r="N29" s="3"/>
      <c r="O29" s="3"/>
    </row>
    <row r="30" spans="1:15" x14ac:dyDescent="0.3">
      <c r="A30" s="3"/>
      <c r="B30" s="29">
        <v>1635930993</v>
      </c>
      <c r="C30" s="30">
        <v>5.125</v>
      </c>
      <c r="D30" s="3" t="s">
        <v>256</v>
      </c>
      <c r="E30" s="80">
        <v>83841463.390000001</v>
      </c>
      <c r="F30" s="80">
        <v>83841463.390000001</v>
      </c>
      <c r="G30" s="80">
        <v>83841463.390000001</v>
      </c>
      <c r="H30" s="80">
        <v>83841463.390000001</v>
      </c>
      <c r="I30" s="80">
        <v>83841463.390000001</v>
      </c>
      <c r="J30" s="77"/>
      <c r="K30" s="3"/>
      <c r="L30" s="3"/>
      <c r="M30" s="3"/>
      <c r="N30" s="3"/>
      <c r="O30" s="3"/>
    </row>
    <row r="31" spans="1:15" x14ac:dyDescent="0.3">
      <c r="A31" s="77" t="s">
        <v>237</v>
      </c>
      <c r="B31" s="79">
        <f>SUM(B14,B16,B18,B20,B22,B23,B25,B27,B28,B30)</f>
        <v>8568114218</v>
      </c>
      <c r="C31" s="77"/>
      <c r="D31" s="77"/>
      <c r="E31" s="83">
        <v>643704454</v>
      </c>
      <c r="F31" s="83">
        <v>568889798</v>
      </c>
      <c r="G31" s="83">
        <v>568889798</v>
      </c>
      <c r="H31" s="83">
        <v>568889798</v>
      </c>
      <c r="I31" s="83">
        <v>568889798</v>
      </c>
      <c r="J31" s="77"/>
      <c r="K31" s="3"/>
      <c r="L31" s="3"/>
      <c r="M31" s="3"/>
      <c r="N31" s="3"/>
      <c r="O31" s="3"/>
    </row>
    <row r="32" spans="1:15" x14ac:dyDescent="0.3">
      <c r="A32" s="43" t="s">
        <v>444</v>
      </c>
      <c r="B32" s="78">
        <f>B31+B10</f>
        <v>13252825700</v>
      </c>
      <c r="C32" s="43"/>
      <c r="D32" s="43"/>
      <c r="E32" s="83">
        <f>E31+E10</f>
        <v>863235240</v>
      </c>
      <c r="F32" s="83">
        <f t="shared" ref="F32:I32" si="1">F31+F10</f>
        <v>737297740.09000003</v>
      </c>
      <c r="G32" s="83">
        <f t="shared" si="1"/>
        <v>737297740.09000003</v>
      </c>
      <c r="H32" s="83">
        <f t="shared" si="1"/>
        <v>737297740.09000003</v>
      </c>
      <c r="I32" s="83">
        <f t="shared" si="1"/>
        <v>737297740.09000003</v>
      </c>
      <c r="J32" s="77"/>
      <c r="K32" s="3"/>
      <c r="L32" s="3"/>
      <c r="M32" s="3"/>
      <c r="N32" s="3"/>
      <c r="O32" s="3"/>
    </row>
    <row r="33" spans="1:15" x14ac:dyDescent="0.3"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3"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3"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3"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3"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3"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3"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3"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3"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3"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3">
      <c r="A44" s="3"/>
      <c r="B44" s="3"/>
      <c r="C44" s="29"/>
      <c r="D44" s="3"/>
      <c r="E44" s="3"/>
      <c r="F44" s="3"/>
      <c r="G44" s="3"/>
      <c r="H44" s="3"/>
      <c r="I44" s="3"/>
      <c r="J44" s="3"/>
      <c r="K44" s="29"/>
      <c r="L44" s="29"/>
      <c r="M44" s="29"/>
      <c r="N44" s="29"/>
      <c r="O44" s="29"/>
    </row>
    <row r="45" spans="1:15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3">
      <c r="A46" s="3"/>
      <c r="B46" s="3"/>
      <c r="C46" s="29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1356-6DEB-4C22-A01F-2846DE42C5B8}">
  <dimension ref="B2:N19"/>
  <sheetViews>
    <sheetView workbookViewId="0">
      <selection activeCell="K13" sqref="K13"/>
    </sheetView>
  </sheetViews>
  <sheetFormatPr defaultRowHeight="14.4" x14ac:dyDescent="0.3"/>
  <cols>
    <col min="2" max="2" width="23" bestFit="1" customWidth="1"/>
    <col min="3" max="3" width="19" bestFit="1" customWidth="1"/>
    <col min="4" max="4" width="26.6640625" bestFit="1" customWidth="1"/>
    <col min="6" max="6" width="25.6640625" customWidth="1"/>
    <col min="10" max="10" width="12.88671875" bestFit="1" customWidth="1"/>
  </cols>
  <sheetData>
    <row r="2" spans="2:14" x14ac:dyDescent="0.3">
      <c r="B2" s="31" t="s">
        <v>257</v>
      </c>
      <c r="C2" s="2" t="s">
        <v>258</v>
      </c>
      <c r="D2" s="31" t="s">
        <v>357</v>
      </c>
      <c r="F2" s="31" t="s">
        <v>259</v>
      </c>
      <c r="G2" s="31"/>
      <c r="H2" s="31"/>
      <c r="J2" s="31" t="s">
        <v>265</v>
      </c>
      <c r="K2" s="31" t="s">
        <v>260</v>
      </c>
      <c r="L2" s="31" t="s">
        <v>261</v>
      </c>
      <c r="M2" s="31" t="s">
        <v>267</v>
      </c>
      <c r="N2" s="31" t="s">
        <v>268</v>
      </c>
    </row>
    <row r="3" spans="2:14" x14ac:dyDescent="0.3">
      <c r="B3" s="80">
        <v>13252825700</v>
      </c>
      <c r="C3" s="80">
        <v>28443745745</v>
      </c>
      <c r="D3" s="81">
        <f>19360000000</f>
        <v>19360000000</v>
      </c>
      <c r="F3" s="87">
        <v>151669152823</v>
      </c>
      <c r="G3" s="87"/>
      <c r="J3" s="32">
        <v>5</v>
      </c>
      <c r="K3">
        <f>Beta!$S$4</f>
        <v>0.59689216450000004</v>
      </c>
      <c r="L3">
        <f>0.3</f>
        <v>0.3</v>
      </c>
      <c r="M3">
        <v>4.8570000000000002</v>
      </c>
      <c r="N3">
        <v>3.383</v>
      </c>
    </row>
    <row r="5" spans="2:14" x14ac:dyDescent="0.3">
      <c r="K5" s="31" t="s">
        <v>315</v>
      </c>
    </row>
    <row r="7" spans="2:14" x14ac:dyDescent="0.3">
      <c r="B7" s="47" t="s">
        <v>268</v>
      </c>
      <c r="D7">
        <v>3.383</v>
      </c>
    </row>
    <row r="8" spans="2:14" x14ac:dyDescent="0.3">
      <c r="B8" s="47" t="s">
        <v>267</v>
      </c>
      <c r="D8">
        <v>4.8570000000000002</v>
      </c>
      <c r="F8" s="58">
        <f>(D3)/(F3+D3)</f>
        <v>0.11319707593965506</v>
      </c>
    </row>
    <row r="9" spans="2:14" x14ac:dyDescent="0.3">
      <c r="B9" s="47" t="s">
        <v>261</v>
      </c>
      <c r="D9">
        <f>0.3</f>
        <v>0.3</v>
      </c>
      <c r="F9" s="58">
        <f>1-F8</f>
        <v>0.886802924060345</v>
      </c>
    </row>
    <row r="10" spans="2:14" x14ac:dyDescent="0.3">
      <c r="B10" s="47" t="s">
        <v>260</v>
      </c>
      <c r="D10" s="32">
        <f>Beta!$S$4</f>
        <v>0.59689216450000004</v>
      </c>
    </row>
    <row r="11" spans="2:14" x14ac:dyDescent="0.3">
      <c r="B11" s="47" t="s">
        <v>315</v>
      </c>
      <c r="D11" s="32">
        <f>0.66*1 + 0.33*K3</f>
        <v>0.85697441428499999</v>
      </c>
    </row>
    <row r="12" spans="2:14" x14ac:dyDescent="0.3">
      <c r="B12" s="47" t="s">
        <v>265</v>
      </c>
      <c r="D12" s="32">
        <v>5</v>
      </c>
    </row>
    <row r="13" spans="2:14" x14ac:dyDescent="0.3">
      <c r="B13" s="47" t="s">
        <v>262</v>
      </c>
      <c r="D13">
        <v>4.3259999999999996</v>
      </c>
    </row>
    <row r="14" spans="2:14" x14ac:dyDescent="0.3">
      <c r="B14" s="47" t="s">
        <v>263</v>
      </c>
      <c r="D14">
        <f>D13+K3*J3</f>
        <v>7.3104608224999996</v>
      </c>
    </row>
    <row r="15" spans="2:14" x14ac:dyDescent="0.3">
      <c r="B15" s="47" t="s">
        <v>317</v>
      </c>
      <c r="D15">
        <f>D13+D11*J3</f>
        <v>8.6108720714249998</v>
      </c>
      <c r="I15" s="31"/>
    </row>
    <row r="16" spans="2:14" x14ac:dyDescent="0.3">
      <c r="B16" s="47" t="s">
        <v>264</v>
      </c>
      <c r="D16">
        <f>AVERAGE(M3:N3)</f>
        <v>4.12</v>
      </c>
    </row>
    <row r="17" spans="2:4" x14ac:dyDescent="0.3">
      <c r="B17" s="47" t="s">
        <v>266</v>
      </c>
      <c r="C17" s="43"/>
      <c r="D17" s="76">
        <f>D16*(D3)/(F3+D3)*(1-L3)+F3*D14/(F3+D3)</f>
        <v>6.8093984006315589</v>
      </c>
    </row>
    <row r="18" spans="2:4" x14ac:dyDescent="0.3">
      <c r="B18" s="47" t="s">
        <v>316</v>
      </c>
      <c r="D18" s="60">
        <f>D16*(D3)/(F3+D3)*(1-L3)+F3*D15/(F3+D3)</f>
        <v>7.9626068986592138</v>
      </c>
    </row>
    <row r="19" spans="2:4" x14ac:dyDescent="0.3">
      <c r="B19" s="43" t="s">
        <v>358</v>
      </c>
      <c r="D19" s="59">
        <v>0.08</v>
      </c>
    </row>
  </sheetData>
  <mergeCells count="1">
    <mergeCell ref="F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A84F-64D3-4B59-9A91-2DE20DF12EE6}">
  <dimension ref="A1:I8"/>
  <sheetViews>
    <sheetView workbookViewId="0">
      <selection activeCell="A21" sqref="A21"/>
    </sheetView>
  </sheetViews>
  <sheetFormatPr defaultRowHeight="14.4" x14ac:dyDescent="0.3"/>
  <cols>
    <col min="1" max="1" width="28.88671875" bestFit="1" customWidth="1"/>
  </cols>
  <sheetData>
    <row r="1" spans="1:9" x14ac:dyDescent="0.3">
      <c r="A1" s="43" t="s">
        <v>428</v>
      </c>
      <c r="B1" s="43"/>
      <c r="C1" s="43"/>
      <c r="D1" s="43"/>
    </row>
    <row r="2" spans="1:9" x14ac:dyDescent="0.3">
      <c r="A2" s="74" t="s">
        <v>280</v>
      </c>
      <c r="D2" s="6">
        <f>3.4 %</f>
        <v>3.4000000000000002E-2</v>
      </c>
    </row>
    <row r="3" spans="1:9" x14ac:dyDescent="0.3">
      <c r="A3" s="74" t="s">
        <v>371</v>
      </c>
      <c r="B3" s="3"/>
      <c r="C3" s="3"/>
      <c r="D3" s="40">
        <v>5.5E-2</v>
      </c>
    </row>
    <row r="4" spans="1:9" x14ac:dyDescent="0.3">
      <c r="A4" s="43" t="s">
        <v>359</v>
      </c>
      <c r="D4" s="6">
        <f>1.73 %</f>
        <v>1.7299999999999999E-2</v>
      </c>
    </row>
    <row r="5" spans="1:9" x14ac:dyDescent="0.3">
      <c r="A5" s="43" t="s">
        <v>372</v>
      </c>
      <c r="D5" s="59">
        <v>0.03</v>
      </c>
    </row>
    <row r="6" spans="1:9" x14ac:dyDescent="0.3">
      <c r="A6" s="43" t="s">
        <v>297</v>
      </c>
      <c r="B6" s="43"/>
      <c r="C6" s="43"/>
      <c r="D6" s="75">
        <f>0.25*D2+0.25*D3+0.25*D4+0.25*D5</f>
        <v>3.4074999999999994E-2</v>
      </c>
    </row>
    <row r="8" spans="1:9" x14ac:dyDescent="0.3">
      <c r="I8" s="6"/>
    </row>
  </sheetData>
  <hyperlinks>
    <hyperlink ref="A3" r:id="rId1" display="https://www.thebusinessresearchcompany.com/report/mining-global-market-report" xr:uid="{E20A0019-FCF1-4ED7-B9B0-E73CC8B71839}"/>
    <hyperlink ref="A2" r:id="rId2" xr:uid="{B552F3AE-618F-4ACA-85AF-AE238623F96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93C5-5248-4AB6-9AA6-AD10B3F1C8CC}">
  <dimension ref="A2:J22"/>
  <sheetViews>
    <sheetView tabSelected="1" workbookViewId="0">
      <selection activeCell="J18" sqref="J18"/>
    </sheetView>
  </sheetViews>
  <sheetFormatPr defaultRowHeight="14.4" x14ac:dyDescent="0.3"/>
  <cols>
    <col min="1" max="1" width="20.33203125" bestFit="1" customWidth="1"/>
    <col min="2" max="2" width="10.88671875" bestFit="1" customWidth="1"/>
    <col min="3" max="6" width="11.5546875" bestFit="1" customWidth="1"/>
  </cols>
  <sheetData>
    <row r="2" spans="1:10" x14ac:dyDescent="0.3">
      <c r="A2" s="43"/>
      <c r="B2" s="47" t="s">
        <v>287</v>
      </c>
      <c r="C2" s="43"/>
      <c r="D2" s="43"/>
      <c r="E2" s="43"/>
      <c r="F2" s="43"/>
      <c r="G2" s="43"/>
    </row>
    <row r="3" spans="1:10" x14ac:dyDescent="0.3">
      <c r="A3" s="47" t="s">
        <v>293</v>
      </c>
      <c r="B3" s="43">
        <v>1</v>
      </c>
      <c r="C3" s="43">
        <v>2</v>
      </c>
      <c r="D3" s="43">
        <v>3</v>
      </c>
      <c r="E3" s="43">
        <v>4</v>
      </c>
      <c r="F3" s="43">
        <v>5</v>
      </c>
      <c r="G3" s="43"/>
      <c r="I3" t="s">
        <v>266</v>
      </c>
      <c r="J3" s="58">
        <f>WACC!D17/100</f>
        <v>6.8093984006315583E-2</v>
      </c>
    </row>
    <row r="4" spans="1:10" x14ac:dyDescent="0.3">
      <c r="A4" s="43"/>
      <c r="B4" s="43">
        <v>2024</v>
      </c>
      <c r="C4" s="43">
        <v>2025</v>
      </c>
      <c r="D4" s="43">
        <v>2026</v>
      </c>
      <c r="E4" s="43">
        <v>2027</v>
      </c>
      <c r="F4" s="43">
        <v>2028</v>
      </c>
      <c r="G4" s="43" t="s">
        <v>378</v>
      </c>
      <c r="I4" t="s">
        <v>297</v>
      </c>
      <c r="J4" s="6">
        <f>TGR!D6</f>
        <v>3.4074999999999994E-2</v>
      </c>
    </row>
    <row r="5" spans="1:10" x14ac:dyDescent="0.3">
      <c r="A5" s="43"/>
      <c r="B5" s="43"/>
      <c r="C5" s="43"/>
      <c r="D5" s="43"/>
      <c r="E5" s="43"/>
      <c r="F5" s="43"/>
      <c r="G5" s="43"/>
    </row>
    <row r="6" spans="1:10" x14ac:dyDescent="0.3">
      <c r="A6" s="47" t="s">
        <v>288</v>
      </c>
      <c r="B6" s="32" cm="1">
        <f t="array" ref="B6:F6">'Income Statement'!H19:L19</f>
        <v>27.397399801497826</v>
      </c>
      <c r="C6" s="32">
        <v>22.959877148329184</v>
      </c>
      <c r="D6" s="32">
        <v>19.196406946755605</v>
      </c>
      <c r="E6" s="32">
        <v>21.228941281304287</v>
      </c>
      <c r="F6" s="32">
        <v>25.48400917613656</v>
      </c>
    </row>
    <row r="7" spans="1:10" x14ac:dyDescent="0.3">
      <c r="A7" s="47" t="s">
        <v>289</v>
      </c>
      <c r="B7" s="32">
        <f>'Income Statement'!H34</f>
        <v>8.758682936547924</v>
      </c>
      <c r="C7" s="32">
        <f>'Income Statement'!I34</f>
        <v>9.5451694392155968</v>
      </c>
      <c r="D7" s="32">
        <f>'Income Statement'!J34</f>
        <v>10.402278548428065</v>
      </c>
      <c r="E7" s="32">
        <f>'Income Statement'!K34</f>
        <v>11.336351825722954</v>
      </c>
      <c r="F7" s="32">
        <f>'Income Statement'!L34</f>
        <v>12.35430027356769</v>
      </c>
    </row>
    <row r="8" spans="1:10" x14ac:dyDescent="0.3">
      <c r="A8" s="47" t="s">
        <v>290</v>
      </c>
      <c r="B8" s="32">
        <f>'Balance Sheet'!H10-'Balance Sheet'!H31</f>
        <v>13.845777878672591</v>
      </c>
      <c r="C8" s="32">
        <f>'Balance Sheet'!I10-'Balance Sheet'!I31</f>
        <v>15.014234916429537</v>
      </c>
      <c r="D8" s="32">
        <f>'Balance Sheet'!J10-'Balance Sheet'!J31</f>
        <v>16.082033096269665</v>
      </c>
      <c r="E8" s="32">
        <f>'Balance Sheet'!K10-'Balance Sheet'!K31</f>
        <v>17.035904576777163</v>
      </c>
      <c r="F8" s="32">
        <f>'Balance Sheet'!L10-'Balance Sheet'!L31</f>
        <v>15.860571351423552</v>
      </c>
    </row>
    <row r="9" spans="1:10" x14ac:dyDescent="0.3">
      <c r="A9" s="47" t="s">
        <v>291</v>
      </c>
      <c r="B9" s="32">
        <f>('Balance Sheet'!H13-'Balance Sheet'!G13)+'Income Statement'!H34</f>
        <v>12.219947832103909</v>
      </c>
      <c r="C9" s="32">
        <f>('Balance Sheet'!I13-'Balance Sheet'!H13)+'Income Statement'!I34</f>
        <v>13.073935709565843</v>
      </c>
      <c r="D9" s="32">
        <f>('Balance Sheet'!J13-'Balance Sheet'!I13)+'Income Statement'!J34</f>
        <v>14.00743424997183</v>
      </c>
      <c r="E9" s="32">
        <f>('Balance Sheet'!K13-'Balance Sheet'!J13)+'Income Statement'!K34</f>
        <v>15.009849972829837</v>
      </c>
      <c r="F9" s="32">
        <f>('Balance Sheet'!L13-'Balance Sheet'!K13)+'Income Statement'!L34</f>
        <v>16.112535281990262</v>
      </c>
    </row>
    <row r="10" spans="1:10" x14ac:dyDescent="0.3">
      <c r="A10" s="47"/>
      <c r="C10">
        <f>C9/B9-1</f>
        <v>6.98847400328797E-2</v>
      </c>
      <c r="D10">
        <f t="shared" ref="D10:F10" si="0">D9/C9-1</f>
        <v>7.1401493868672672E-2</v>
      </c>
      <c r="E10">
        <f t="shared" si="0"/>
        <v>7.1563121765859661E-2</v>
      </c>
      <c r="F10">
        <f t="shared" si="0"/>
        <v>7.3464112643128132E-2</v>
      </c>
      <c r="H10">
        <f>AVERAGE(C10:F10)</f>
        <v>7.1578367077635041E-2</v>
      </c>
    </row>
    <row r="11" spans="1:10" x14ac:dyDescent="0.3">
      <c r="A11" s="47" t="s">
        <v>292</v>
      </c>
      <c r="B11" s="32">
        <f>B6+B7-B8-B9</f>
        <v>10.090357027269253</v>
      </c>
      <c r="C11" s="32">
        <f t="shared" ref="C11:F11" si="1">C6+C7-C8-C9</f>
        <v>4.4168759615494029</v>
      </c>
      <c r="D11" s="32">
        <f t="shared" si="1"/>
        <v>-0.49078185105782524</v>
      </c>
      <c r="E11" s="32">
        <f t="shared" si="1"/>
        <v>0.51953855742024402</v>
      </c>
      <c r="F11" s="32">
        <f t="shared" si="1"/>
        <v>5.8652028162904344</v>
      </c>
    </row>
    <row r="12" spans="1:10" x14ac:dyDescent="0.3">
      <c r="A12" s="47" t="s">
        <v>294</v>
      </c>
      <c r="B12">
        <v>6.8099999999999994E-2</v>
      </c>
      <c r="C12">
        <v>6.8099999999999994E-2</v>
      </c>
      <c r="D12">
        <v>6.8099999999999994E-2</v>
      </c>
      <c r="E12">
        <v>6.8099999999999994E-2</v>
      </c>
      <c r="F12">
        <v>6.8099999999999994E-2</v>
      </c>
    </row>
    <row r="13" spans="1:10" x14ac:dyDescent="0.3">
      <c r="A13" s="47" t="s">
        <v>297</v>
      </c>
      <c r="B13" s="6">
        <f>TGR!$D$6</f>
        <v>3.4074999999999994E-2</v>
      </c>
      <c r="C13" s="6">
        <f>TGR!$D$6</f>
        <v>3.4074999999999994E-2</v>
      </c>
      <c r="D13" s="6">
        <f>TGR!$D$6</f>
        <v>3.4074999999999994E-2</v>
      </c>
      <c r="E13" s="6">
        <f>TGR!$D$6</f>
        <v>3.4074999999999994E-2</v>
      </c>
      <c r="F13" s="6">
        <f>TGR!$D$6</f>
        <v>3.4074999999999994E-2</v>
      </c>
      <c r="G13" s="6">
        <f>TGR!$D$6</f>
        <v>3.4074999999999994E-2</v>
      </c>
    </row>
    <row r="14" spans="1:10" x14ac:dyDescent="0.3">
      <c r="A14" s="43" t="s">
        <v>407</v>
      </c>
      <c r="G14" s="32">
        <f>F11/(J3-J4)</f>
        <v>172.40969969007793</v>
      </c>
    </row>
    <row r="15" spans="1:10" x14ac:dyDescent="0.3">
      <c r="A15" s="47" t="s">
        <v>286</v>
      </c>
      <c r="B15" s="32">
        <f>(B11/(1+$J$3)^B3)</f>
        <v>9.4470684961835616</v>
      </c>
      <c r="C15" s="32">
        <f>(C11/(1+$J$3)^C3)</f>
        <v>3.8716515643444027</v>
      </c>
      <c r="D15" s="32">
        <f>(D11/(1+$J$3)^D3)</f>
        <v>-0.40277275674072377</v>
      </c>
      <c r="E15" s="32">
        <f>(E11/(1+$J$3)^E3)</f>
        <v>0.39919023445389007</v>
      </c>
      <c r="F15" s="32">
        <f>(F11/(1+$J$3)^F3)</f>
        <v>4.2192541846333302</v>
      </c>
      <c r="G15" s="32">
        <f>(F11+G14)/(1+$J$3)^F3</f>
        <v>128.24571493519633</v>
      </c>
    </row>
    <row r="16" spans="1:10" ht="14.25" customHeight="1" x14ac:dyDescent="0.3">
      <c r="A16" s="47" t="s">
        <v>296</v>
      </c>
      <c r="B16" s="32">
        <f>SUM(B15:G15)</f>
        <v>145.78010665807079</v>
      </c>
    </row>
    <row r="17" spans="1:2" ht="14.25" customHeight="1" x14ac:dyDescent="0.3">
      <c r="A17" s="47" t="s">
        <v>408</v>
      </c>
      <c r="B17" s="71">
        <f>'Balance Sheet'!H33</f>
        <v>19.45560391726076</v>
      </c>
    </row>
    <row r="18" spans="1:2" x14ac:dyDescent="0.3">
      <c r="A18" s="47" t="s">
        <v>409</v>
      </c>
      <c r="B18" s="71">
        <f>'Balance Sheet'!H2</f>
        <v>17.245910387838169</v>
      </c>
    </row>
    <row r="19" spans="1:2" x14ac:dyDescent="0.3">
      <c r="A19" s="47" t="s">
        <v>410</v>
      </c>
      <c r="B19" s="71">
        <f>Multiplies!K5</f>
        <v>1.51</v>
      </c>
    </row>
    <row r="20" spans="1:2" x14ac:dyDescent="0.3">
      <c r="A20" s="47" t="s">
        <v>295</v>
      </c>
      <c r="B20" s="32">
        <f>(B16-B17+B18)/B19</f>
        <v>95.079743793806756</v>
      </c>
    </row>
    <row r="21" spans="1:2" x14ac:dyDescent="0.3">
      <c r="A21" s="47" t="s">
        <v>419</v>
      </c>
      <c r="B21" s="73">
        <f>Multiplies!K7</f>
        <v>110.41</v>
      </c>
    </row>
    <row r="22" spans="1:2" x14ac:dyDescent="0.3">
      <c r="A22" s="47" t="s">
        <v>404</v>
      </c>
      <c r="B22" s="72">
        <f>B20/B21-1</f>
        <v>-0.13884843950904124</v>
      </c>
    </row>
  </sheetData>
  <conditionalFormatting sqref="B6:F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{ACBA2BA3-1FCB-46A7-B261-FEB1F7A06D7D}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BA2BA3-1FCB-46A7-B261-FEB1F7A06D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B6:F9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DA95-3158-47FE-A656-0322C126C3D8}">
  <dimension ref="C3:O28"/>
  <sheetViews>
    <sheetView topLeftCell="D1" workbookViewId="0">
      <selection activeCell="O19" sqref="O19"/>
    </sheetView>
  </sheetViews>
  <sheetFormatPr defaultRowHeight="14.4" x14ac:dyDescent="0.3"/>
  <cols>
    <col min="4" max="4" width="28.6640625" bestFit="1" customWidth="1"/>
    <col min="5" max="5" width="12" bestFit="1" customWidth="1"/>
    <col min="6" max="6" width="12" customWidth="1"/>
    <col min="7" max="7" width="23" bestFit="1" customWidth="1"/>
    <col min="8" max="8" width="10.44140625" bestFit="1" customWidth="1"/>
    <col min="9" max="9" width="18.44140625" bestFit="1" customWidth="1"/>
    <col min="10" max="10" width="13.6640625" customWidth="1"/>
    <col min="11" max="11" width="18.44140625" bestFit="1" customWidth="1"/>
    <col min="13" max="13" width="18.44140625" bestFit="1" customWidth="1"/>
    <col min="14" max="14" width="13.6640625" bestFit="1" customWidth="1"/>
    <col min="15" max="15" width="14.88671875" bestFit="1" customWidth="1"/>
    <col min="16" max="16" width="7" customWidth="1"/>
  </cols>
  <sheetData>
    <row r="3" spans="3:15" x14ac:dyDescent="0.3">
      <c r="C3" s="43"/>
      <c r="D3" s="43" t="s">
        <v>324</v>
      </c>
      <c r="E3" s="43">
        <v>2023</v>
      </c>
      <c r="F3" s="43">
        <v>2024</v>
      </c>
      <c r="G3" s="43"/>
      <c r="H3" s="43">
        <v>2023</v>
      </c>
      <c r="I3" s="43">
        <v>2024</v>
      </c>
    </row>
    <row r="4" spans="3:15" x14ac:dyDescent="0.3">
      <c r="C4" s="43" t="s">
        <v>325</v>
      </c>
      <c r="D4" s="43" t="s">
        <v>326</v>
      </c>
      <c r="E4" s="43" t="s">
        <v>327</v>
      </c>
      <c r="F4" s="43" t="s">
        <v>412</v>
      </c>
      <c r="G4" s="43"/>
      <c r="H4" s="43" t="s">
        <v>328</v>
      </c>
      <c r="I4" s="43" t="s">
        <v>329</v>
      </c>
      <c r="K4" s="43" t="s">
        <v>330</v>
      </c>
      <c r="M4" s="43" t="s">
        <v>379</v>
      </c>
    </row>
    <row r="5" spans="3:15" x14ac:dyDescent="0.3">
      <c r="C5" s="52" t="s">
        <v>331</v>
      </c>
      <c r="D5" s="44" t="s">
        <v>336</v>
      </c>
      <c r="E5" s="45">
        <v>12.7149632105669</v>
      </c>
      <c r="F5" s="45">
        <v>12.407805453702499</v>
      </c>
      <c r="G5" s="45"/>
      <c r="H5" s="45">
        <v>9.1211013919396198</v>
      </c>
      <c r="I5" s="45">
        <v>7.97808872584692</v>
      </c>
      <c r="J5" s="45"/>
      <c r="K5" s="45">
        <v>1.51</v>
      </c>
      <c r="M5" t="s">
        <v>380</v>
      </c>
    </row>
    <row r="6" spans="3:15" x14ac:dyDescent="0.3">
      <c r="C6" s="52" t="s">
        <v>333</v>
      </c>
      <c r="D6" s="44" t="s">
        <v>332</v>
      </c>
      <c r="E6" s="45">
        <v>9.8639419410170799</v>
      </c>
      <c r="F6" s="45">
        <v>10.865664555434099</v>
      </c>
      <c r="G6" s="45"/>
      <c r="H6" s="45">
        <v>7.8497462930927799</v>
      </c>
      <c r="I6" s="45">
        <v>5.1209517605932504</v>
      </c>
      <c r="J6" s="45"/>
      <c r="K6" s="43" t="s">
        <v>398</v>
      </c>
      <c r="M6" t="s">
        <v>381</v>
      </c>
    </row>
    <row r="7" spans="3:15" x14ac:dyDescent="0.3">
      <c r="C7" s="52" t="s">
        <v>335</v>
      </c>
      <c r="D7" s="44" t="s">
        <v>338</v>
      </c>
      <c r="E7" s="45">
        <v>6.3613040088705199</v>
      </c>
      <c r="F7" s="45">
        <v>9.54671901845599</v>
      </c>
      <c r="G7" s="45"/>
      <c r="H7" s="45">
        <v>4.1619958362643796</v>
      </c>
      <c r="I7" s="45">
        <v>4.5626624727990803</v>
      </c>
      <c r="J7" s="45"/>
      <c r="K7" s="45">
        <v>110.41</v>
      </c>
    </row>
    <row r="8" spans="3:15" x14ac:dyDescent="0.3">
      <c r="C8" s="52" t="s">
        <v>337</v>
      </c>
      <c r="D8" s="44" t="s">
        <v>334</v>
      </c>
      <c r="E8" s="45">
        <v>-41.335147611163599</v>
      </c>
      <c r="F8" s="45">
        <v>6.9363973057469401</v>
      </c>
      <c r="G8" s="45"/>
      <c r="H8" s="45">
        <v>5.6117657356783903</v>
      </c>
      <c r="I8" s="45">
        <v>3.7539283704043802</v>
      </c>
      <c r="J8" s="45"/>
    </row>
    <row r="9" spans="3:15" x14ac:dyDescent="0.3">
      <c r="C9" s="52" t="s">
        <v>339</v>
      </c>
      <c r="D9" s="44" t="s">
        <v>340</v>
      </c>
      <c r="E9" s="45">
        <v>6.5717800046671702</v>
      </c>
      <c r="F9" s="45">
        <v>7.4497821465536997</v>
      </c>
      <c r="G9" s="45"/>
      <c r="H9" s="45">
        <v>5.6248188285306702</v>
      </c>
      <c r="I9" s="45">
        <v>3.3137793419094601</v>
      </c>
      <c r="J9" s="46"/>
    </row>
    <row r="10" spans="3:15" x14ac:dyDescent="0.3">
      <c r="C10" s="52" t="s">
        <v>431</v>
      </c>
      <c r="D10" s="44" t="s">
        <v>432</v>
      </c>
      <c r="E10" s="45">
        <v>15.6830087595291</v>
      </c>
      <c r="F10" s="45">
        <v>11.317152093651</v>
      </c>
      <c r="H10" s="45">
        <v>7.0173621249964704</v>
      </c>
      <c r="I10" s="45">
        <v>5.4686113471201203</v>
      </c>
      <c r="J10" s="46"/>
    </row>
    <row r="11" spans="3:15" x14ac:dyDescent="0.3">
      <c r="C11" s="52" t="s">
        <v>433</v>
      </c>
      <c r="D11" s="44" t="s">
        <v>434</v>
      </c>
      <c r="E11" s="45">
        <v>24.9107981220657</v>
      </c>
      <c r="F11" s="45">
        <v>14.9901932325182</v>
      </c>
      <c r="H11" s="45">
        <v>14.0518789993843</v>
      </c>
      <c r="I11" s="45">
        <v>8.2028646779985301</v>
      </c>
      <c r="J11" s="46"/>
    </row>
    <row r="12" spans="3:15" x14ac:dyDescent="0.3">
      <c r="C12" s="52" t="s">
        <v>435</v>
      </c>
      <c r="D12" s="44" t="s">
        <v>436</v>
      </c>
      <c r="E12" s="45">
        <v>13.423730107862101</v>
      </c>
      <c r="F12" s="45">
        <v>12.4783877515725</v>
      </c>
      <c r="H12" s="45">
        <v>5.5159186478204001</v>
      </c>
      <c r="I12" s="45">
        <v>5.8299109567771703</v>
      </c>
      <c r="J12" s="46"/>
    </row>
    <row r="13" spans="3:15" x14ac:dyDescent="0.3">
      <c r="C13" s="52" t="s">
        <v>437</v>
      </c>
      <c r="D13" s="44" t="s">
        <v>438</v>
      </c>
      <c r="E13" s="45">
        <v>4.6620114610617502</v>
      </c>
      <c r="F13" s="45">
        <v>4.7965155190346804</v>
      </c>
      <c r="H13" s="45">
        <v>4.1839679079062204</v>
      </c>
      <c r="I13" s="45">
        <v>3.4523609788543799</v>
      </c>
      <c r="J13" s="46"/>
    </row>
    <row r="14" spans="3:15" x14ac:dyDescent="0.3">
      <c r="C14" s="43"/>
      <c r="D14" s="47" t="s">
        <v>341</v>
      </c>
      <c r="E14" s="48">
        <f>MEDIAN(E5:E9)</f>
        <v>6.5717800046671702</v>
      </c>
      <c r="F14" s="48">
        <f>MEDIAN(F5:F9)</f>
        <v>9.54671901845599</v>
      </c>
      <c r="G14" s="48"/>
      <c r="H14" s="48">
        <f>MEDIAN(H5:H13)</f>
        <v>5.6248188285306702</v>
      </c>
      <c r="I14" s="48">
        <f>MEDIAN(I5:I13)</f>
        <v>5.1209517605932504</v>
      </c>
      <c r="M14" s="43"/>
      <c r="N14" s="43">
        <v>2023</v>
      </c>
      <c r="O14" s="43" t="s">
        <v>401</v>
      </c>
    </row>
    <row r="15" spans="3:15" x14ac:dyDescent="0.3">
      <c r="C15" s="52" t="s">
        <v>248</v>
      </c>
      <c r="D15" s="44" t="s">
        <v>342</v>
      </c>
      <c r="E15" s="45">
        <f>N20</f>
        <v>9.1232953923607312</v>
      </c>
      <c r="F15" s="45">
        <f>O20</f>
        <v>10.614494253734394</v>
      </c>
      <c r="G15" s="45"/>
      <c r="H15" s="45">
        <f>N22</f>
        <v>4.9815967968446531</v>
      </c>
      <c r="I15" s="45">
        <f>O22</f>
        <v>4.6110941057386023</v>
      </c>
      <c r="M15" t="s">
        <v>344</v>
      </c>
      <c r="N15">
        <f>'Income Statement'!G38</f>
        <v>33.466999999999999</v>
      </c>
      <c r="O15" s="32">
        <f>'Income Statement'!H38</f>
        <v>36.156082738045754</v>
      </c>
    </row>
    <row r="16" spans="3:15" x14ac:dyDescent="0.3">
      <c r="C16" s="43"/>
      <c r="D16" s="31" t="s">
        <v>343</v>
      </c>
      <c r="E16" s="49">
        <f>(E15/E14)-1</f>
        <v>0.38825331734804225</v>
      </c>
      <c r="F16" s="49">
        <f>(F15/F14)-1</f>
        <v>0.11184735124330669</v>
      </c>
      <c r="G16" s="49"/>
      <c r="H16" s="49">
        <f>(H15/H14)-1</f>
        <v>-0.1143542665629359</v>
      </c>
      <c r="I16" s="49">
        <f>(I15/I14)-1</f>
        <v>-9.956306536181514E-2</v>
      </c>
      <c r="M16" t="s">
        <v>330</v>
      </c>
      <c r="N16">
        <v>1.51</v>
      </c>
      <c r="O16">
        <v>1.51</v>
      </c>
    </row>
    <row r="17" spans="3:15" x14ac:dyDescent="0.3">
      <c r="C17" s="43"/>
      <c r="D17" s="31" t="s">
        <v>345</v>
      </c>
      <c r="E17" s="32">
        <f>E15*(1+E16)</f>
        <v>12.665445093590893</v>
      </c>
      <c r="F17" s="32">
        <f>F15*(1+F16)</f>
        <v>11.801697320801885</v>
      </c>
      <c r="G17" s="32"/>
      <c r="H17" s="32">
        <f>H15*(1+H16)</f>
        <v>4.4119299488292123</v>
      </c>
      <c r="I17" s="32">
        <f>I15*(1+I16)</f>
        <v>4.151999441899469</v>
      </c>
    </row>
    <row r="18" spans="3:15" x14ac:dyDescent="0.3">
      <c r="C18" s="43"/>
      <c r="L18" s="43"/>
      <c r="M18" s="43" t="s">
        <v>399</v>
      </c>
      <c r="N18" s="43">
        <v>2023</v>
      </c>
      <c r="O18" s="43" t="s">
        <v>422</v>
      </c>
    </row>
    <row r="19" spans="3:15" x14ac:dyDescent="0.3">
      <c r="C19" s="52" t="s">
        <v>248</v>
      </c>
      <c r="D19" s="52" t="s">
        <v>342</v>
      </c>
      <c r="E19" s="43" t="s">
        <v>423</v>
      </c>
      <c r="F19" s="43" t="s">
        <v>413</v>
      </c>
      <c r="G19" s="43"/>
      <c r="H19" s="43" t="s">
        <v>424</v>
      </c>
      <c r="I19" s="43" t="s">
        <v>346</v>
      </c>
      <c r="L19" s="43"/>
      <c r="M19" t="s">
        <v>396</v>
      </c>
      <c r="N19" s="32">
        <f>'Income Statement'!G31/Multiplies!K5</f>
        <v>12.101986754966887</v>
      </c>
      <c r="O19" s="32">
        <f>'Income Statement'!H31/K5</f>
        <v>10.401814477515547</v>
      </c>
    </row>
    <row r="20" spans="3:15" x14ac:dyDescent="0.3">
      <c r="C20" s="43"/>
      <c r="D20" s="43"/>
      <c r="E20" s="32">
        <f>N19</f>
        <v>12.101986754966887</v>
      </c>
      <c r="F20" s="32">
        <f>O19</f>
        <v>10.401814477515547</v>
      </c>
      <c r="G20" s="32"/>
      <c r="H20" s="60">
        <f>N15</f>
        <v>33.466999999999999</v>
      </c>
      <c r="I20" s="32">
        <f>O15</f>
        <v>36.156082738045754</v>
      </c>
      <c r="J20" s="50"/>
      <c r="L20" s="43"/>
      <c r="M20" t="s">
        <v>397</v>
      </c>
      <c r="N20" s="32">
        <f>K7/N19</f>
        <v>9.1232953923607312</v>
      </c>
      <c r="O20" s="32">
        <f>K7/O19</f>
        <v>10.614494253734394</v>
      </c>
    </row>
    <row r="21" spans="3:15" x14ac:dyDescent="0.3">
      <c r="C21" s="43"/>
      <c r="D21" s="43"/>
      <c r="G21" t="s">
        <v>347</v>
      </c>
      <c r="H21" s="32">
        <f>H20*H17</f>
        <v>147.65405959746724</v>
      </c>
      <c r="I21" s="32">
        <f>I20*I17</f>
        <v>150.12003534963699</v>
      </c>
      <c r="J21" s="50"/>
      <c r="L21" s="43"/>
      <c r="M21" t="s">
        <v>400</v>
      </c>
      <c r="N21" s="32">
        <f>K7*K5</f>
        <v>166.7191</v>
      </c>
      <c r="O21" s="32">
        <f>K7*K5</f>
        <v>166.7191</v>
      </c>
    </row>
    <row r="22" spans="3:15" x14ac:dyDescent="0.3">
      <c r="C22" s="43"/>
      <c r="D22" s="43"/>
      <c r="G22" t="s">
        <v>411</v>
      </c>
      <c r="H22" s="46">
        <f>'Balance Sheet'!G33</f>
        <v>19.36</v>
      </c>
      <c r="I22" s="32">
        <f>'Balance Sheet'!H33</f>
        <v>19.45560391726076</v>
      </c>
      <c r="L22" s="43"/>
      <c r="M22" t="s">
        <v>328</v>
      </c>
      <c r="N22" s="32">
        <f>N21/'Income Statement'!G38</f>
        <v>4.9815967968446531</v>
      </c>
      <c r="O22" s="32">
        <f>O21/O15</f>
        <v>4.6110941057386023</v>
      </c>
    </row>
    <row r="23" spans="3:15" x14ac:dyDescent="0.3">
      <c r="C23" s="43"/>
      <c r="D23" s="43" t="s">
        <v>348</v>
      </c>
      <c r="E23" s="32">
        <f>E20*E17</f>
        <v>153.27704876839735</v>
      </c>
      <c r="F23" s="32">
        <f>F20*E17</f>
        <v>131.74361013869202</v>
      </c>
      <c r="G23" t="s">
        <v>348</v>
      </c>
      <c r="H23" s="32">
        <f>(H21-H22)/K5</f>
        <v>84.962953375806123</v>
      </c>
      <c r="I23" s="32">
        <f>(I21-I22)/K5</f>
        <v>86.53273604793128</v>
      </c>
    </row>
    <row r="24" spans="3:15" x14ac:dyDescent="0.3">
      <c r="C24" s="43"/>
      <c r="D24" s="43" t="s">
        <v>349</v>
      </c>
      <c r="E24">
        <v>0.5</v>
      </c>
      <c r="F24" s="32">
        <v>0.5</v>
      </c>
      <c r="G24" s="32"/>
      <c r="H24" s="32">
        <v>0.5</v>
      </c>
      <c r="I24" s="32">
        <v>0.5</v>
      </c>
    </row>
    <row r="25" spans="3:15" x14ac:dyDescent="0.3">
      <c r="C25" s="43"/>
      <c r="D25" s="43" t="s">
        <v>348</v>
      </c>
      <c r="E25" s="51">
        <f>(E23*E24)+(F23*F24)</f>
        <v>142.51032945354467</v>
      </c>
      <c r="F25" s="51"/>
      <c r="G25" s="43" t="s">
        <v>348</v>
      </c>
      <c r="H25" s="51">
        <f>(H23*H24)+(I23*I24)</f>
        <v>85.747844711868709</v>
      </c>
      <c r="I25" s="43"/>
    </row>
    <row r="26" spans="3:15" x14ac:dyDescent="0.3">
      <c r="C26" s="43"/>
      <c r="D26" s="43" t="s">
        <v>402</v>
      </c>
      <c r="E26" s="46">
        <f>K7</f>
        <v>110.41</v>
      </c>
      <c r="F26" s="46"/>
      <c r="G26" s="46"/>
    </row>
    <row r="27" spans="3:15" x14ac:dyDescent="0.3">
      <c r="C27" s="43"/>
      <c r="D27" s="43" t="s">
        <v>403</v>
      </c>
      <c r="E27" s="32">
        <f>AVERAGE(E25,H25)</f>
        <v>114.12908708270669</v>
      </c>
      <c r="F27" s="32"/>
      <c r="G27" s="32"/>
    </row>
    <row r="28" spans="3:15" x14ac:dyDescent="0.3">
      <c r="C28" s="43"/>
      <c r="D28" s="43" t="s">
        <v>404</v>
      </c>
      <c r="E28" s="72">
        <f>(E27-E26)/E26</f>
        <v>3.3684331878513663E-2</v>
      </c>
      <c r="F28" s="72"/>
      <c r="G28" s="7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341E64396424DAF464598D8A8DF61" ma:contentTypeVersion="15" ma:contentTypeDescription="Create a new document." ma:contentTypeScope="" ma:versionID="a4cd199b7e5b0769068fa28d48ef0656">
  <xsd:schema xmlns:xsd="http://www.w3.org/2001/XMLSchema" xmlns:xs="http://www.w3.org/2001/XMLSchema" xmlns:p="http://schemas.microsoft.com/office/2006/metadata/properties" xmlns:ns3="9fb8246d-da83-4c6e-a703-21480310237c" xmlns:ns4="719d6c67-9c89-44b3-9542-ed99303689a0" targetNamespace="http://schemas.microsoft.com/office/2006/metadata/properties" ma:root="true" ma:fieldsID="6194c443f790201aae5956e8774e07c9" ns3:_="" ns4:_="">
    <xsd:import namespace="9fb8246d-da83-4c6e-a703-21480310237c"/>
    <xsd:import namespace="719d6c67-9c89-44b3-9542-ed99303689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8246d-da83-4c6e-a703-2148031023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d6c67-9c89-44b3-9542-ed99303689a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fb8246d-da83-4c6e-a703-21480310237c" xsi:nil="true"/>
  </documentManagement>
</p:properties>
</file>

<file path=customXml/itemProps1.xml><?xml version="1.0" encoding="utf-8"?>
<ds:datastoreItem xmlns:ds="http://schemas.openxmlformats.org/officeDocument/2006/customXml" ds:itemID="{72DF3FE8-BC84-40C8-B1CA-A1D1F1DEB9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D1DA8A-1616-4B2B-BB53-B81699BC73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b8246d-da83-4c6e-a703-21480310237c"/>
    <ds:schemaRef ds:uri="719d6c67-9c89-44b3-9542-ed99303689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4EA83E-1DE9-43DE-8680-1429A45A4444}">
  <ds:schemaRefs>
    <ds:schemaRef ds:uri="http://schemas.microsoft.com/office/2006/metadata/properties"/>
    <ds:schemaRef ds:uri="http://purl.org/dc/terms/"/>
    <ds:schemaRef ds:uri="http://purl.org/dc/elements/1.1/"/>
    <ds:schemaRef ds:uri="719d6c67-9c89-44b3-9542-ed99303689a0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9fb8246d-da83-4c6e-a703-21480310237c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Income Statement</vt:lpstr>
      <vt:lpstr>Balance Sheet</vt:lpstr>
      <vt:lpstr>Beta</vt:lpstr>
      <vt:lpstr>Debt</vt:lpstr>
      <vt:lpstr>WACC</vt:lpstr>
      <vt:lpstr>TGR</vt:lpstr>
      <vt:lpstr>DCF</vt:lpstr>
      <vt:lpstr>Multiplies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Riccardo Farina</cp:lastModifiedBy>
  <dcterms:created xsi:type="dcterms:W3CDTF">2015-06-05T18:17:20Z</dcterms:created>
  <dcterms:modified xsi:type="dcterms:W3CDTF">2024-09-24T03:08:26Z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0x010100BE9341E64396424DAF464598D8A8DF61</vt:lpwstr>
  </property>
</Properties>
</file>